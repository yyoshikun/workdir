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410" documentId="11_E60897F41BE170836B02CE998F75CCDC64E183C8" xr6:coauthVersionLast="47" xr6:coauthVersionMax="47" xr10:uidLastSave="{20B9A943-7C8C-4147-B9D5-41C6F32E3CC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" i="1"/>
  <c r="F3" i="1"/>
  <c r="M3" i="1" s="1"/>
  <c r="F4" i="1"/>
  <c r="M4" i="1" s="1"/>
  <c r="F5" i="1"/>
  <c r="M5" i="1" s="1"/>
  <c r="F6" i="1"/>
  <c r="M6" i="1" s="1"/>
  <c r="F7" i="1"/>
  <c r="M7" i="1" s="1"/>
  <c r="F8" i="1"/>
  <c r="M8" i="1" s="1"/>
  <c r="F9" i="1"/>
  <c r="M9" i="1" s="1"/>
  <c r="F10" i="1"/>
  <c r="M10" i="1" s="1"/>
  <c r="F11" i="1"/>
  <c r="M11" i="1" s="1"/>
  <c r="F12" i="1"/>
  <c r="M12" i="1" s="1"/>
  <c r="F13" i="1"/>
  <c r="M13" i="1" s="1"/>
  <c r="F14" i="1"/>
  <c r="M14" i="1" s="1"/>
  <c r="F15" i="1"/>
  <c r="M15" i="1" s="1"/>
  <c r="F16" i="1"/>
  <c r="M16" i="1" s="1"/>
  <c r="F17" i="1"/>
  <c r="M17" i="1" s="1"/>
  <c r="F18" i="1"/>
  <c r="M18" i="1" s="1"/>
  <c r="F19" i="1"/>
  <c r="M19" i="1" s="1"/>
  <c r="F20" i="1"/>
  <c r="M20" i="1" s="1"/>
  <c r="F21" i="1"/>
  <c r="M21" i="1" s="1"/>
  <c r="F22" i="1"/>
  <c r="M22" i="1" s="1"/>
  <c r="F23" i="1"/>
  <c r="M23" i="1" s="1"/>
  <c r="F24" i="1"/>
  <c r="M24" i="1" s="1"/>
  <c r="F25" i="1"/>
  <c r="M25" i="1" s="1"/>
  <c r="F26" i="1"/>
  <c r="M26" i="1" s="1"/>
  <c r="F27" i="1"/>
  <c r="M27" i="1" s="1"/>
  <c r="F28" i="1"/>
  <c r="M28" i="1" s="1"/>
  <c r="F29" i="1"/>
  <c r="M29" i="1" s="1"/>
  <c r="F30" i="1"/>
  <c r="M30" i="1" s="1"/>
  <c r="F31" i="1"/>
  <c r="M31" i="1" s="1"/>
  <c r="F32" i="1"/>
  <c r="M32" i="1" s="1"/>
  <c r="F33" i="1"/>
  <c r="M33" i="1" s="1"/>
  <c r="F34" i="1"/>
  <c r="M34" i="1" s="1"/>
  <c r="F35" i="1"/>
  <c r="M35" i="1" s="1"/>
  <c r="F36" i="1"/>
  <c r="M36" i="1" s="1"/>
  <c r="F37" i="1"/>
  <c r="M37" i="1" s="1"/>
  <c r="F38" i="1"/>
  <c r="M38" i="1" s="1"/>
  <c r="F39" i="1"/>
  <c r="M39" i="1" s="1"/>
  <c r="F40" i="1"/>
  <c r="M40" i="1" s="1"/>
  <c r="F41" i="1"/>
  <c r="M41" i="1" s="1"/>
  <c r="F42" i="1"/>
  <c r="M42" i="1" s="1"/>
  <c r="F43" i="1"/>
  <c r="M43" i="1" s="1"/>
  <c r="F44" i="1"/>
  <c r="M44" i="1" s="1"/>
  <c r="F45" i="1"/>
  <c r="M45" i="1" s="1"/>
  <c r="F46" i="1"/>
  <c r="M46" i="1" s="1"/>
  <c r="F47" i="1"/>
  <c r="M47" i="1" s="1"/>
  <c r="F48" i="1"/>
  <c r="M48" i="1" s="1"/>
  <c r="F49" i="1"/>
  <c r="M49" i="1" s="1"/>
  <c r="F50" i="1"/>
  <c r="M50" i="1" s="1"/>
  <c r="F51" i="1"/>
  <c r="M51" i="1" s="1"/>
  <c r="F52" i="1"/>
  <c r="M52" i="1" s="1"/>
  <c r="F53" i="1"/>
  <c r="M53" i="1" s="1"/>
  <c r="F54" i="1"/>
  <c r="M54" i="1" s="1"/>
  <c r="F55" i="1"/>
  <c r="M55" i="1" s="1"/>
  <c r="F56" i="1"/>
  <c r="M56" i="1" s="1"/>
  <c r="F57" i="1"/>
  <c r="M57" i="1" s="1"/>
  <c r="F58" i="1"/>
  <c r="M58" i="1" s="1"/>
  <c r="F59" i="1"/>
  <c r="M59" i="1" s="1"/>
  <c r="F60" i="1"/>
  <c r="M60" i="1" s="1"/>
  <c r="F61" i="1"/>
  <c r="M61" i="1" s="1"/>
  <c r="F62" i="1"/>
  <c r="M62" i="1" s="1"/>
  <c r="F63" i="1"/>
  <c r="M63" i="1" s="1"/>
  <c r="F64" i="1"/>
  <c r="M64" i="1" s="1"/>
  <c r="F65" i="1"/>
  <c r="M65" i="1" s="1"/>
  <c r="F66" i="1"/>
  <c r="M66" i="1" s="1"/>
  <c r="F67" i="1"/>
  <c r="M67" i="1" s="1"/>
  <c r="F68" i="1"/>
  <c r="M68" i="1" s="1"/>
  <c r="F69" i="1"/>
  <c r="M69" i="1" s="1"/>
  <c r="F70" i="1"/>
  <c r="M70" i="1" s="1"/>
  <c r="F71" i="1"/>
  <c r="F72" i="1"/>
  <c r="M72" i="1" s="1"/>
  <c r="F73" i="1"/>
  <c r="M73" i="1" s="1"/>
  <c r="F74" i="1"/>
  <c r="M74" i="1" s="1"/>
  <c r="F75" i="1"/>
  <c r="M75" i="1" s="1"/>
  <c r="F76" i="1"/>
  <c r="M76" i="1" s="1"/>
  <c r="F77" i="1"/>
  <c r="M77" i="1" s="1"/>
  <c r="F78" i="1"/>
  <c r="M78" i="1" s="1"/>
  <c r="F79" i="1"/>
  <c r="M79" i="1" s="1"/>
  <c r="F80" i="1"/>
  <c r="M80" i="1" s="1"/>
  <c r="F81" i="1"/>
  <c r="M81" i="1" s="1"/>
  <c r="F82" i="1"/>
  <c r="M82" i="1" s="1"/>
  <c r="F83" i="1"/>
  <c r="M83" i="1" s="1"/>
  <c r="F84" i="1"/>
  <c r="M84" i="1" s="1"/>
  <c r="F85" i="1"/>
  <c r="M85" i="1" s="1"/>
  <c r="F86" i="1"/>
  <c r="M86" i="1" s="1"/>
  <c r="F87" i="1"/>
  <c r="M87" i="1" s="1"/>
  <c r="F88" i="1"/>
  <c r="M88" i="1" s="1"/>
  <c r="F89" i="1"/>
  <c r="M89" i="1" s="1"/>
  <c r="F90" i="1"/>
  <c r="M90" i="1" s="1"/>
  <c r="F91" i="1"/>
  <c r="M91" i="1" s="1"/>
  <c r="F92" i="1"/>
  <c r="M92" i="1" s="1"/>
  <c r="F93" i="1"/>
  <c r="M93" i="1" s="1"/>
  <c r="F94" i="1"/>
  <c r="M94" i="1" s="1"/>
  <c r="F95" i="1"/>
  <c r="M95" i="1" s="1"/>
  <c r="F96" i="1"/>
  <c r="M96" i="1" s="1"/>
  <c r="F97" i="1"/>
  <c r="M97" i="1" s="1"/>
  <c r="F98" i="1"/>
  <c r="M98" i="1" s="1"/>
  <c r="F99" i="1"/>
  <c r="M99" i="1" s="1"/>
  <c r="F100" i="1"/>
  <c r="M100" i="1" s="1"/>
  <c r="F101" i="1"/>
  <c r="M101" i="1" s="1"/>
  <c r="F102" i="1"/>
  <c r="M102" i="1" s="1"/>
  <c r="F103" i="1"/>
  <c r="M103" i="1" s="1"/>
  <c r="F104" i="1"/>
  <c r="M104" i="1" s="1"/>
  <c r="F105" i="1"/>
  <c r="M105" i="1" s="1"/>
  <c r="F106" i="1"/>
  <c r="M106" i="1" s="1"/>
  <c r="F107" i="1"/>
  <c r="M107" i="1" s="1"/>
  <c r="F108" i="1"/>
  <c r="M108" i="1" s="1"/>
  <c r="F109" i="1"/>
  <c r="M109" i="1" s="1"/>
  <c r="F110" i="1"/>
  <c r="M110" i="1" s="1"/>
  <c r="F111" i="1"/>
  <c r="M111" i="1" s="1"/>
  <c r="F112" i="1"/>
  <c r="M112" i="1" s="1"/>
  <c r="F113" i="1"/>
  <c r="M113" i="1" s="1"/>
  <c r="F114" i="1"/>
  <c r="M114" i="1" s="1"/>
  <c r="F115" i="1"/>
  <c r="M115" i="1" s="1"/>
  <c r="F116" i="1"/>
  <c r="M116" i="1" s="1"/>
  <c r="F117" i="1"/>
  <c r="M117" i="1" s="1"/>
  <c r="F118" i="1"/>
  <c r="M118" i="1" s="1"/>
  <c r="F119" i="1"/>
  <c r="M119" i="1" s="1"/>
  <c r="F120" i="1"/>
  <c r="M120" i="1" s="1"/>
  <c r="F121" i="1"/>
  <c r="M121" i="1" s="1"/>
  <c r="F122" i="1"/>
  <c r="M122" i="1" s="1"/>
  <c r="F123" i="1"/>
  <c r="M123" i="1" s="1"/>
  <c r="F124" i="1"/>
  <c r="M124" i="1" s="1"/>
  <c r="F125" i="1"/>
  <c r="M125" i="1" s="1"/>
  <c r="F126" i="1"/>
  <c r="M126" i="1" s="1"/>
  <c r="F127" i="1"/>
  <c r="M127" i="1" s="1"/>
  <c r="F128" i="1"/>
  <c r="M128" i="1" s="1"/>
  <c r="F129" i="1"/>
  <c r="M129" i="1" s="1"/>
  <c r="F130" i="1"/>
  <c r="M130" i="1" s="1"/>
  <c r="F131" i="1"/>
  <c r="M131" i="1" s="1"/>
  <c r="F132" i="1"/>
  <c r="M132" i="1" s="1"/>
  <c r="F133" i="1"/>
  <c r="M133" i="1" s="1"/>
  <c r="F134" i="1"/>
  <c r="M134" i="1" s="1"/>
  <c r="F135" i="1"/>
  <c r="M135" i="1" s="1"/>
  <c r="F136" i="1"/>
  <c r="M136" i="1" s="1"/>
  <c r="F137" i="1"/>
  <c r="M137" i="1" s="1"/>
  <c r="F138" i="1"/>
  <c r="M138" i="1" s="1"/>
  <c r="F139" i="1"/>
  <c r="M139" i="1" s="1"/>
  <c r="F140" i="1"/>
  <c r="M140" i="1" s="1"/>
  <c r="F141" i="1"/>
  <c r="M141" i="1" s="1"/>
  <c r="F142" i="1"/>
  <c r="M142" i="1" s="1"/>
  <c r="F143" i="1"/>
  <c r="M143" i="1" s="1"/>
  <c r="F144" i="1"/>
  <c r="M144" i="1" s="1"/>
  <c r="F145" i="1"/>
  <c r="M145" i="1" s="1"/>
  <c r="F146" i="1"/>
  <c r="M146" i="1" s="1"/>
  <c r="F147" i="1"/>
  <c r="M147" i="1" s="1"/>
  <c r="F148" i="1"/>
  <c r="M148" i="1" s="1"/>
  <c r="F149" i="1"/>
  <c r="M149" i="1" s="1"/>
  <c r="F150" i="1"/>
  <c r="M150" i="1" s="1"/>
  <c r="F151" i="1"/>
  <c r="M151" i="1" s="1"/>
  <c r="F152" i="1"/>
  <c r="M152" i="1" s="1"/>
  <c r="F153" i="1"/>
  <c r="M153" i="1" s="1"/>
  <c r="F154" i="1"/>
  <c r="M154" i="1" s="1"/>
  <c r="F155" i="1"/>
  <c r="M155" i="1" s="1"/>
  <c r="F156" i="1"/>
  <c r="M156" i="1" s="1"/>
  <c r="F157" i="1"/>
  <c r="M157" i="1" s="1"/>
  <c r="F158" i="1"/>
  <c r="M158" i="1" s="1"/>
  <c r="F159" i="1"/>
  <c r="M159" i="1" s="1"/>
  <c r="F160" i="1"/>
  <c r="M160" i="1" s="1"/>
  <c r="F161" i="1"/>
  <c r="M161" i="1" s="1"/>
  <c r="F162" i="1"/>
  <c r="M162" i="1" s="1"/>
  <c r="F163" i="1"/>
  <c r="M163" i="1" s="1"/>
  <c r="F164" i="1"/>
  <c r="M164" i="1" s="1"/>
  <c r="F165" i="1"/>
  <c r="M165" i="1" s="1"/>
  <c r="F166" i="1"/>
  <c r="M166" i="1" s="1"/>
  <c r="F167" i="1"/>
  <c r="M167" i="1" s="1"/>
  <c r="F168" i="1"/>
  <c r="M168" i="1" s="1"/>
  <c r="F169" i="1"/>
  <c r="M169" i="1" s="1"/>
  <c r="F170" i="1"/>
  <c r="M170" i="1" s="1"/>
  <c r="F171" i="1"/>
  <c r="M171" i="1" s="1"/>
  <c r="F172" i="1"/>
  <c r="M172" i="1" s="1"/>
  <c r="F173" i="1"/>
  <c r="M173" i="1" s="1"/>
  <c r="F174" i="1"/>
  <c r="M174" i="1" s="1"/>
  <c r="F175" i="1"/>
  <c r="M175" i="1" s="1"/>
  <c r="F176" i="1"/>
  <c r="M176" i="1" s="1"/>
  <c r="F177" i="1"/>
  <c r="M177" i="1" s="1"/>
  <c r="F178" i="1"/>
  <c r="M178" i="1" s="1"/>
  <c r="F179" i="1"/>
  <c r="M179" i="1" s="1"/>
  <c r="F180" i="1"/>
  <c r="M180" i="1" s="1"/>
  <c r="F181" i="1"/>
  <c r="M181" i="1" s="1"/>
  <c r="F182" i="1"/>
  <c r="M182" i="1" s="1"/>
  <c r="F183" i="1"/>
  <c r="M183" i="1" s="1"/>
  <c r="F184" i="1"/>
  <c r="M184" i="1" s="1"/>
  <c r="F185" i="1"/>
  <c r="M185" i="1" s="1"/>
  <c r="F186" i="1"/>
  <c r="M186" i="1" s="1"/>
  <c r="F187" i="1"/>
  <c r="M187" i="1" s="1"/>
  <c r="F188" i="1"/>
  <c r="M188" i="1" s="1"/>
  <c r="F189" i="1"/>
  <c r="M189" i="1" s="1"/>
  <c r="F190" i="1"/>
  <c r="M190" i="1" s="1"/>
  <c r="F191" i="1"/>
  <c r="M191" i="1" s="1"/>
  <c r="F192" i="1"/>
  <c r="M192" i="1" s="1"/>
  <c r="F193" i="1"/>
  <c r="M193" i="1" s="1"/>
  <c r="F194" i="1"/>
  <c r="M194" i="1" s="1"/>
  <c r="F195" i="1"/>
  <c r="M195" i="1" s="1"/>
  <c r="F196" i="1"/>
  <c r="M196" i="1" s="1"/>
  <c r="F197" i="1"/>
  <c r="M197" i="1" s="1"/>
  <c r="F198" i="1"/>
  <c r="M198" i="1" s="1"/>
  <c r="F199" i="1"/>
  <c r="M199" i="1" s="1"/>
  <c r="F200" i="1"/>
  <c r="M200" i="1" s="1"/>
  <c r="F201" i="1"/>
  <c r="M201" i="1" s="1"/>
  <c r="F202" i="1"/>
  <c r="M202" i="1" s="1"/>
  <c r="F203" i="1"/>
  <c r="M203" i="1" s="1"/>
  <c r="F204" i="1"/>
  <c r="M204" i="1" s="1"/>
  <c r="F205" i="1"/>
  <c r="M205" i="1" s="1"/>
  <c r="F206" i="1"/>
  <c r="M206" i="1" s="1"/>
  <c r="F207" i="1"/>
  <c r="M207" i="1" s="1"/>
  <c r="F208" i="1"/>
  <c r="M208" i="1" s="1"/>
  <c r="F209" i="1"/>
  <c r="M209" i="1" s="1"/>
  <c r="F210" i="1"/>
  <c r="M210" i="1" s="1"/>
  <c r="F211" i="1"/>
  <c r="M211" i="1" s="1"/>
  <c r="F212" i="1"/>
  <c r="M212" i="1" s="1"/>
  <c r="F213" i="1"/>
  <c r="M213" i="1" s="1"/>
  <c r="F214" i="1"/>
  <c r="M214" i="1" s="1"/>
  <c r="F215" i="1"/>
  <c r="M215" i="1" s="1"/>
  <c r="F216" i="1"/>
  <c r="M216" i="1" s="1"/>
  <c r="F217" i="1"/>
  <c r="M217" i="1" s="1"/>
  <c r="F218" i="1"/>
  <c r="M218" i="1" s="1"/>
  <c r="F219" i="1"/>
  <c r="M219" i="1" s="1"/>
  <c r="F220" i="1"/>
  <c r="M220" i="1" s="1"/>
  <c r="F221" i="1"/>
  <c r="M221" i="1" s="1"/>
  <c r="F222" i="1"/>
  <c r="M222" i="1" s="1"/>
  <c r="F223" i="1"/>
  <c r="M223" i="1" s="1"/>
  <c r="F224" i="1"/>
  <c r="M224" i="1" s="1"/>
  <c r="F225" i="1"/>
  <c r="M225" i="1" s="1"/>
  <c r="F226" i="1"/>
  <c r="M226" i="1" s="1"/>
  <c r="F227" i="1"/>
  <c r="M227" i="1" s="1"/>
  <c r="F228" i="1"/>
  <c r="M228" i="1" s="1"/>
  <c r="F229" i="1"/>
  <c r="M229" i="1" s="1"/>
  <c r="F230" i="1"/>
  <c r="M230" i="1" s="1"/>
  <c r="F231" i="1"/>
  <c r="M231" i="1" s="1"/>
  <c r="F232" i="1"/>
  <c r="M232" i="1" s="1"/>
  <c r="F233" i="1"/>
  <c r="M233" i="1" s="1"/>
  <c r="F234" i="1"/>
  <c r="M234" i="1" s="1"/>
  <c r="F235" i="1"/>
  <c r="M235" i="1" s="1"/>
  <c r="F236" i="1"/>
  <c r="M236" i="1" s="1"/>
  <c r="F237" i="1"/>
  <c r="M237" i="1" s="1"/>
  <c r="F238" i="1"/>
  <c r="M238" i="1" s="1"/>
  <c r="F239" i="1"/>
  <c r="M239" i="1" s="1"/>
  <c r="F240" i="1"/>
  <c r="M240" i="1" s="1"/>
  <c r="F241" i="1"/>
  <c r="M241" i="1" s="1"/>
  <c r="F242" i="1"/>
  <c r="M242" i="1" s="1"/>
  <c r="F243" i="1"/>
  <c r="M243" i="1" s="1"/>
  <c r="F244" i="1"/>
  <c r="M244" i="1" s="1"/>
  <c r="F245" i="1"/>
  <c r="M245" i="1" s="1"/>
  <c r="F246" i="1"/>
  <c r="M246" i="1" s="1"/>
  <c r="F247" i="1"/>
  <c r="M247" i="1" s="1"/>
  <c r="F248" i="1"/>
  <c r="M248" i="1" s="1"/>
  <c r="F249" i="1"/>
  <c r="M249" i="1" s="1"/>
  <c r="F250" i="1"/>
  <c r="M250" i="1" s="1"/>
  <c r="F251" i="1"/>
  <c r="M251" i="1" s="1"/>
  <c r="F252" i="1"/>
  <c r="M252" i="1" s="1"/>
  <c r="F253" i="1"/>
  <c r="M253" i="1" s="1"/>
  <c r="F254" i="1"/>
  <c r="M254" i="1" s="1"/>
  <c r="F255" i="1"/>
  <c r="M255" i="1" s="1"/>
  <c r="F256" i="1"/>
  <c r="M256" i="1" s="1"/>
  <c r="F257" i="1"/>
  <c r="M257" i="1" s="1"/>
  <c r="F258" i="1"/>
  <c r="M258" i="1" s="1"/>
  <c r="F259" i="1"/>
  <c r="M259" i="1" s="1"/>
  <c r="F260" i="1"/>
  <c r="M260" i="1" s="1"/>
  <c r="F2" i="1"/>
  <c r="M2" i="1" s="1"/>
  <c r="I3" i="1"/>
  <c r="J3" i="1"/>
  <c r="K3" i="1"/>
  <c r="L3" i="1"/>
  <c r="I4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I12" i="1"/>
  <c r="J12" i="1"/>
  <c r="K12" i="1"/>
  <c r="L12" i="1"/>
  <c r="I13" i="1"/>
  <c r="J13" i="1"/>
  <c r="K13" i="1"/>
  <c r="L13" i="1"/>
  <c r="I14" i="1"/>
  <c r="J14" i="1"/>
  <c r="K14" i="1"/>
  <c r="L14" i="1"/>
  <c r="I15" i="1"/>
  <c r="J15" i="1"/>
  <c r="K15" i="1"/>
  <c r="L15" i="1"/>
  <c r="I16" i="1"/>
  <c r="J16" i="1"/>
  <c r="K16" i="1"/>
  <c r="L16" i="1"/>
  <c r="I17" i="1"/>
  <c r="J17" i="1"/>
  <c r="K17" i="1"/>
  <c r="L17" i="1"/>
  <c r="I18" i="1"/>
  <c r="J18" i="1"/>
  <c r="K18" i="1"/>
  <c r="L18" i="1"/>
  <c r="I19" i="1"/>
  <c r="J19" i="1"/>
  <c r="K19" i="1"/>
  <c r="L19" i="1"/>
  <c r="I20" i="1"/>
  <c r="J20" i="1"/>
  <c r="K20" i="1"/>
  <c r="L20" i="1"/>
  <c r="I21" i="1"/>
  <c r="J21" i="1"/>
  <c r="K21" i="1"/>
  <c r="L21" i="1"/>
  <c r="I22" i="1"/>
  <c r="J22" i="1"/>
  <c r="K22" i="1"/>
  <c r="L22" i="1"/>
  <c r="I23" i="1"/>
  <c r="J23" i="1"/>
  <c r="K23" i="1"/>
  <c r="L23" i="1"/>
  <c r="I24" i="1"/>
  <c r="J24" i="1"/>
  <c r="K24" i="1"/>
  <c r="L24" i="1"/>
  <c r="I25" i="1"/>
  <c r="J25" i="1"/>
  <c r="K25" i="1"/>
  <c r="L25" i="1"/>
  <c r="I26" i="1"/>
  <c r="J26" i="1"/>
  <c r="K26" i="1"/>
  <c r="L26" i="1"/>
  <c r="I27" i="1"/>
  <c r="J27" i="1"/>
  <c r="K27" i="1"/>
  <c r="L27" i="1"/>
  <c r="I28" i="1"/>
  <c r="J28" i="1"/>
  <c r="K28" i="1"/>
  <c r="L28" i="1"/>
  <c r="I29" i="1"/>
  <c r="J29" i="1"/>
  <c r="K29" i="1"/>
  <c r="L29" i="1"/>
  <c r="I30" i="1"/>
  <c r="J30" i="1"/>
  <c r="K30" i="1"/>
  <c r="L30" i="1"/>
  <c r="I31" i="1"/>
  <c r="J31" i="1"/>
  <c r="K31" i="1"/>
  <c r="L31" i="1"/>
  <c r="I32" i="1"/>
  <c r="J32" i="1"/>
  <c r="K32" i="1"/>
  <c r="L32" i="1"/>
  <c r="I33" i="1"/>
  <c r="J33" i="1"/>
  <c r="K33" i="1"/>
  <c r="L33" i="1"/>
  <c r="I34" i="1"/>
  <c r="J34" i="1"/>
  <c r="K34" i="1"/>
  <c r="L34" i="1"/>
  <c r="I35" i="1"/>
  <c r="J35" i="1"/>
  <c r="K35" i="1"/>
  <c r="L35" i="1"/>
  <c r="I36" i="1"/>
  <c r="J36" i="1"/>
  <c r="K36" i="1"/>
  <c r="L36" i="1"/>
  <c r="I37" i="1"/>
  <c r="J37" i="1"/>
  <c r="K37" i="1"/>
  <c r="L37" i="1"/>
  <c r="I38" i="1"/>
  <c r="J38" i="1"/>
  <c r="K38" i="1"/>
  <c r="L38" i="1"/>
  <c r="I39" i="1"/>
  <c r="J39" i="1"/>
  <c r="K39" i="1"/>
  <c r="L39" i="1"/>
  <c r="I40" i="1"/>
  <c r="J40" i="1"/>
  <c r="K40" i="1"/>
  <c r="L40" i="1"/>
  <c r="I41" i="1"/>
  <c r="J41" i="1"/>
  <c r="K41" i="1"/>
  <c r="L41" i="1"/>
  <c r="I42" i="1"/>
  <c r="J42" i="1"/>
  <c r="K42" i="1"/>
  <c r="L42" i="1"/>
  <c r="I43" i="1"/>
  <c r="J43" i="1"/>
  <c r="K43" i="1"/>
  <c r="L43" i="1"/>
  <c r="I44" i="1"/>
  <c r="J44" i="1"/>
  <c r="K44" i="1"/>
  <c r="L44" i="1"/>
  <c r="I45" i="1"/>
  <c r="J45" i="1"/>
  <c r="K45" i="1"/>
  <c r="L45" i="1"/>
  <c r="I46" i="1"/>
  <c r="J46" i="1"/>
  <c r="K46" i="1"/>
  <c r="L46" i="1"/>
  <c r="I47" i="1"/>
  <c r="J47" i="1"/>
  <c r="K47" i="1"/>
  <c r="L47" i="1"/>
  <c r="I48" i="1"/>
  <c r="J48" i="1"/>
  <c r="K48" i="1"/>
  <c r="L48" i="1"/>
  <c r="I49" i="1"/>
  <c r="J49" i="1"/>
  <c r="K49" i="1"/>
  <c r="L49" i="1"/>
  <c r="I50" i="1"/>
  <c r="J50" i="1"/>
  <c r="K50" i="1"/>
  <c r="L50" i="1"/>
  <c r="I51" i="1"/>
  <c r="J51" i="1"/>
  <c r="K51" i="1"/>
  <c r="L51" i="1"/>
  <c r="I52" i="1"/>
  <c r="J52" i="1"/>
  <c r="K52" i="1"/>
  <c r="L52" i="1"/>
  <c r="I53" i="1"/>
  <c r="J53" i="1"/>
  <c r="K53" i="1"/>
  <c r="L53" i="1"/>
  <c r="I54" i="1"/>
  <c r="J54" i="1"/>
  <c r="K54" i="1"/>
  <c r="L54" i="1"/>
  <c r="I55" i="1"/>
  <c r="J55" i="1"/>
  <c r="K55" i="1"/>
  <c r="L55" i="1"/>
  <c r="I56" i="1"/>
  <c r="J56" i="1"/>
  <c r="K56" i="1"/>
  <c r="L56" i="1"/>
  <c r="I57" i="1"/>
  <c r="J57" i="1"/>
  <c r="K57" i="1"/>
  <c r="L57" i="1"/>
  <c r="I58" i="1"/>
  <c r="J58" i="1"/>
  <c r="K58" i="1"/>
  <c r="L58" i="1"/>
  <c r="I59" i="1"/>
  <c r="J59" i="1"/>
  <c r="K59" i="1"/>
  <c r="L59" i="1"/>
  <c r="I60" i="1"/>
  <c r="J60" i="1"/>
  <c r="K60" i="1"/>
  <c r="L60" i="1"/>
  <c r="I61" i="1"/>
  <c r="J61" i="1"/>
  <c r="K61" i="1"/>
  <c r="L61" i="1"/>
  <c r="I62" i="1"/>
  <c r="J62" i="1"/>
  <c r="K62" i="1"/>
  <c r="L62" i="1"/>
  <c r="I63" i="1"/>
  <c r="J63" i="1"/>
  <c r="K63" i="1"/>
  <c r="L63" i="1"/>
  <c r="I64" i="1"/>
  <c r="J64" i="1"/>
  <c r="K64" i="1"/>
  <c r="L64" i="1"/>
  <c r="I65" i="1"/>
  <c r="J65" i="1"/>
  <c r="K65" i="1"/>
  <c r="L65" i="1"/>
  <c r="I66" i="1"/>
  <c r="J66" i="1"/>
  <c r="K66" i="1"/>
  <c r="L66" i="1"/>
  <c r="I67" i="1"/>
  <c r="J67" i="1"/>
  <c r="K67" i="1"/>
  <c r="L67" i="1"/>
  <c r="I68" i="1"/>
  <c r="J68" i="1"/>
  <c r="K68" i="1"/>
  <c r="L68" i="1"/>
  <c r="I69" i="1"/>
  <c r="J69" i="1"/>
  <c r="K69" i="1"/>
  <c r="L69" i="1"/>
  <c r="I70" i="1"/>
  <c r="J70" i="1"/>
  <c r="K70" i="1"/>
  <c r="L70" i="1"/>
  <c r="I72" i="1"/>
  <c r="J72" i="1"/>
  <c r="K72" i="1"/>
  <c r="L72" i="1"/>
  <c r="I73" i="1"/>
  <c r="J73" i="1"/>
  <c r="K73" i="1"/>
  <c r="L73" i="1"/>
  <c r="I74" i="1"/>
  <c r="J74" i="1"/>
  <c r="K74" i="1"/>
  <c r="L74" i="1"/>
  <c r="I75" i="1"/>
  <c r="J75" i="1"/>
  <c r="K75" i="1"/>
  <c r="L75" i="1"/>
  <c r="I76" i="1"/>
  <c r="J76" i="1"/>
  <c r="K76" i="1"/>
  <c r="L76" i="1"/>
  <c r="I77" i="1"/>
  <c r="J77" i="1"/>
  <c r="K77" i="1"/>
  <c r="L77" i="1"/>
  <c r="I78" i="1"/>
  <c r="J78" i="1"/>
  <c r="K78" i="1"/>
  <c r="L78" i="1"/>
  <c r="I79" i="1"/>
  <c r="J79" i="1"/>
  <c r="K79" i="1"/>
  <c r="L79" i="1"/>
  <c r="I80" i="1"/>
  <c r="J80" i="1"/>
  <c r="K80" i="1"/>
  <c r="L80" i="1"/>
  <c r="I81" i="1"/>
  <c r="J81" i="1"/>
  <c r="K81" i="1"/>
  <c r="L81" i="1"/>
  <c r="I82" i="1"/>
  <c r="J82" i="1"/>
  <c r="K82" i="1"/>
  <c r="L82" i="1"/>
  <c r="I83" i="1"/>
  <c r="J83" i="1"/>
  <c r="K83" i="1"/>
  <c r="L83" i="1"/>
  <c r="I84" i="1"/>
  <c r="J84" i="1"/>
  <c r="K84" i="1"/>
  <c r="L84" i="1"/>
  <c r="I85" i="1"/>
  <c r="J85" i="1"/>
  <c r="K85" i="1"/>
  <c r="L85" i="1"/>
  <c r="I86" i="1"/>
  <c r="J86" i="1"/>
  <c r="K86" i="1"/>
  <c r="L86" i="1"/>
  <c r="I87" i="1"/>
  <c r="J87" i="1"/>
  <c r="K87" i="1"/>
  <c r="L87" i="1"/>
  <c r="I88" i="1"/>
  <c r="J88" i="1"/>
  <c r="K88" i="1"/>
  <c r="L88" i="1"/>
  <c r="I89" i="1"/>
  <c r="J89" i="1"/>
  <c r="K89" i="1"/>
  <c r="L89" i="1"/>
  <c r="I90" i="1"/>
  <c r="J90" i="1"/>
  <c r="K90" i="1"/>
  <c r="L90" i="1"/>
  <c r="I91" i="1"/>
  <c r="J91" i="1"/>
  <c r="K91" i="1"/>
  <c r="L91" i="1"/>
  <c r="I92" i="1"/>
  <c r="J92" i="1"/>
  <c r="K92" i="1"/>
  <c r="L92" i="1"/>
  <c r="I93" i="1"/>
  <c r="J93" i="1"/>
  <c r="K93" i="1"/>
  <c r="L93" i="1"/>
  <c r="I94" i="1"/>
  <c r="J94" i="1"/>
  <c r="K94" i="1"/>
  <c r="L94" i="1"/>
  <c r="I95" i="1"/>
  <c r="J95" i="1"/>
  <c r="K95" i="1"/>
  <c r="L95" i="1"/>
  <c r="I96" i="1"/>
  <c r="J96" i="1"/>
  <c r="K96" i="1"/>
  <c r="L96" i="1"/>
  <c r="I97" i="1"/>
  <c r="J97" i="1"/>
  <c r="K97" i="1"/>
  <c r="L97" i="1"/>
  <c r="I98" i="1"/>
  <c r="J98" i="1"/>
  <c r="K98" i="1"/>
  <c r="L98" i="1"/>
  <c r="I99" i="1"/>
  <c r="J99" i="1"/>
  <c r="K99" i="1"/>
  <c r="L99" i="1"/>
  <c r="I100" i="1"/>
  <c r="J100" i="1"/>
  <c r="K100" i="1"/>
  <c r="L100" i="1"/>
  <c r="I101" i="1"/>
  <c r="J101" i="1"/>
  <c r="K101" i="1"/>
  <c r="L101" i="1"/>
  <c r="I102" i="1"/>
  <c r="J102" i="1"/>
  <c r="K102" i="1"/>
  <c r="L102" i="1"/>
  <c r="I103" i="1"/>
  <c r="J103" i="1"/>
  <c r="K103" i="1"/>
  <c r="L103" i="1"/>
  <c r="I104" i="1"/>
  <c r="J104" i="1"/>
  <c r="K104" i="1"/>
  <c r="L104" i="1"/>
  <c r="I105" i="1"/>
  <c r="J105" i="1"/>
  <c r="K105" i="1"/>
  <c r="L105" i="1"/>
  <c r="I106" i="1"/>
  <c r="J106" i="1"/>
  <c r="K106" i="1"/>
  <c r="L106" i="1"/>
  <c r="I107" i="1"/>
  <c r="J107" i="1"/>
  <c r="K107" i="1"/>
  <c r="L107" i="1"/>
  <c r="I108" i="1"/>
  <c r="J108" i="1"/>
  <c r="K108" i="1"/>
  <c r="L108" i="1"/>
  <c r="I109" i="1"/>
  <c r="J109" i="1"/>
  <c r="K109" i="1"/>
  <c r="L109" i="1"/>
  <c r="I110" i="1"/>
  <c r="J110" i="1"/>
  <c r="K110" i="1"/>
  <c r="L110" i="1"/>
  <c r="I111" i="1"/>
  <c r="J111" i="1"/>
  <c r="K111" i="1"/>
  <c r="L111" i="1"/>
  <c r="I112" i="1"/>
  <c r="J112" i="1"/>
  <c r="K112" i="1"/>
  <c r="L112" i="1"/>
  <c r="I113" i="1"/>
  <c r="J113" i="1"/>
  <c r="K113" i="1"/>
  <c r="L113" i="1"/>
  <c r="I114" i="1"/>
  <c r="J114" i="1"/>
  <c r="K114" i="1"/>
  <c r="L114" i="1"/>
  <c r="I115" i="1"/>
  <c r="J115" i="1"/>
  <c r="K115" i="1"/>
  <c r="L115" i="1"/>
  <c r="I116" i="1"/>
  <c r="J116" i="1"/>
  <c r="K116" i="1"/>
  <c r="L116" i="1"/>
  <c r="I117" i="1"/>
  <c r="J117" i="1"/>
  <c r="K117" i="1"/>
  <c r="L117" i="1"/>
  <c r="I118" i="1"/>
  <c r="J118" i="1"/>
  <c r="K118" i="1"/>
  <c r="L118" i="1"/>
  <c r="I119" i="1"/>
  <c r="J119" i="1"/>
  <c r="K119" i="1"/>
  <c r="L119" i="1"/>
  <c r="I120" i="1"/>
  <c r="J120" i="1"/>
  <c r="K120" i="1"/>
  <c r="L120" i="1"/>
  <c r="I121" i="1"/>
  <c r="J121" i="1"/>
  <c r="K121" i="1"/>
  <c r="L121" i="1"/>
  <c r="I122" i="1"/>
  <c r="J122" i="1"/>
  <c r="K122" i="1"/>
  <c r="L122" i="1"/>
  <c r="I123" i="1"/>
  <c r="J123" i="1"/>
  <c r="K123" i="1"/>
  <c r="L123" i="1"/>
  <c r="I124" i="1"/>
  <c r="J124" i="1"/>
  <c r="K124" i="1"/>
  <c r="L124" i="1"/>
  <c r="I125" i="1"/>
  <c r="J125" i="1"/>
  <c r="K125" i="1"/>
  <c r="L125" i="1"/>
  <c r="I126" i="1"/>
  <c r="J126" i="1"/>
  <c r="K126" i="1"/>
  <c r="L126" i="1"/>
  <c r="I127" i="1"/>
  <c r="J127" i="1"/>
  <c r="K127" i="1"/>
  <c r="L127" i="1"/>
  <c r="I128" i="1"/>
  <c r="J128" i="1"/>
  <c r="K128" i="1"/>
  <c r="L128" i="1"/>
  <c r="I129" i="1"/>
  <c r="J129" i="1"/>
  <c r="K129" i="1"/>
  <c r="L129" i="1"/>
  <c r="I130" i="1"/>
  <c r="J130" i="1"/>
  <c r="K130" i="1"/>
  <c r="L130" i="1"/>
  <c r="I131" i="1"/>
  <c r="J131" i="1"/>
  <c r="K131" i="1"/>
  <c r="L131" i="1"/>
  <c r="I132" i="1"/>
  <c r="J132" i="1"/>
  <c r="K132" i="1"/>
  <c r="L132" i="1"/>
  <c r="I133" i="1"/>
  <c r="J133" i="1"/>
  <c r="K133" i="1"/>
  <c r="L133" i="1"/>
  <c r="I134" i="1"/>
  <c r="J134" i="1"/>
  <c r="K134" i="1"/>
  <c r="L134" i="1"/>
  <c r="I135" i="1"/>
  <c r="J135" i="1"/>
  <c r="K135" i="1"/>
  <c r="L135" i="1"/>
  <c r="I136" i="1"/>
  <c r="J136" i="1"/>
  <c r="K136" i="1"/>
  <c r="L136" i="1"/>
  <c r="I137" i="1"/>
  <c r="J137" i="1"/>
  <c r="K137" i="1"/>
  <c r="L137" i="1"/>
  <c r="I138" i="1"/>
  <c r="J138" i="1"/>
  <c r="K138" i="1"/>
  <c r="L138" i="1"/>
  <c r="I139" i="1"/>
  <c r="J139" i="1"/>
  <c r="K139" i="1"/>
  <c r="L139" i="1"/>
  <c r="I140" i="1"/>
  <c r="J140" i="1"/>
  <c r="K140" i="1"/>
  <c r="L140" i="1"/>
  <c r="I141" i="1"/>
  <c r="J141" i="1"/>
  <c r="K141" i="1"/>
  <c r="L141" i="1"/>
  <c r="I142" i="1"/>
  <c r="J142" i="1"/>
  <c r="K142" i="1"/>
  <c r="L142" i="1"/>
  <c r="I143" i="1"/>
  <c r="J143" i="1"/>
  <c r="K143" i="1"/>
  <c r="L143" i="1"/>
  <c r="I144" i="1"/>
  <c r="J144" i="1"/>
  <c r="K144" i="1"/>
  <c r="L144" i="1"/>
  <c r="I145" i="1"/>
  <c r="J145" i="1"/>
  <c r="K145" i="1"/>
  <c r="L145" i="1"/>
  <c r="I146" i="1"/>
  <c r="J146" i="1"/>
  <c r="K146" i="1"/>
  <c r="L146" i="1"/>
  <c r="I147" i="1"/>
  <c r="J147" i="1"/>
  <c r="K147" i="1"/>
  <c r="L147" i="1"/>
  <c r="I148" i="1"/>
  <c r="J148" i="1"/>
  <c r="K148" i="1"/>
  <c r="L148" i="1"/>
  <c r="I149" i="1"/>
  <c r="J149" i="1"/>
  <c r="K149" i="1"/>
  <c r="L149" i="1"/>
  <c r="I150" i="1"/>
  <c r="J150" i="1"/>
  <c r="K150" i="1"/>
  <c r="L150" i="1"/>
  <c r="I151" i="1"/>
  <c r="J151" i="1"/>
  <c r="K151" i="1"/>
  <c r="L151" i="1"/>
  <c r="I152" i="1"/>
  <c r="J152" i="1"/>
  <c r="K152" i="1"/>
  <c r="L152" i="1"/>
  <c r="I153" i="1"/>
  <c r="J153" i="1"/>
  <c r="K153" i="1"/>
  <c r="L153" i="1"/>
  <c r="I154" i="1"/>
  <c r="J154" i="1"/>
  <c r="K154" i="1"/>
  <c r="L154" i="1"/>
  <c r="I155" i="1"/>
  <c r="J155" i="1"/>
  <c r="K155" i="1"/>
  <c r="L155" i="1"/>
  <c r="I156" i="1"/>
  <c r="J156" i="1"/>
  <c r="K156" i="1"/>
  <c r="L156" i="1"/>
  <c r="I157" i="1"/>
  <c r="J157" i="1"/>
  <c r="K157" i="1"/>
  <c r="L157" i="1"/>
  <c r="I158" i="1"/>
  <c r="J158" i="1"/>
  <c r="K158" i="1"/>
  <c r="L158" i="1"/>
  <c r="I159" i="1"/>
  <c r="J159" i="1"/>
  <c r="K159" i="1"/>
  <c r="L159" i="1"/>
  <c r="I160" i="1"/>
  <c r="J160" i="1"/>
  <c r="K160" i="1"/>
  <c r="L160" i="1"/>
  <c r="I161" i="1"/>
  <c r="J161" i="1"/>
  <c r="K161" i="1"/>
  <c r="L161" i="1"/>
  <c r="I162" i="1"/>
  <c r="J162" i="1"/>
  <c r="K162" i="1"/>
  <c r="L162" i="1"/>
  <c r="I163" i="1"/>
  <c r="J163" i="1"/>
  <c r="K163" i="1"/>
  <c r="L163" i="1"/>
  <c r="I164" i="1"/>
  <c r="J164" i="1"/>
  <c r="K164" i="1"/>
  <c r="L164" i="1"/>
  <c r="I165" i="1"/>
  <c r="J165" i="1"/>
  <c r="K165" i="1"/>
  <c r="L165" i="1"/>
  <c r="I166" i="1"/>
  <c r="J166" i="1"/>
  <c r="K166" i="1"/>
  <c r="L166" i="1"/>
  <c r="I167" i="1"/>
  <c r="J167" i="1"/>
  <c r="K167" i="1"/>
  <c r="L167" i="1"/>
  <c r="I168" i="1"/>
  <c r="J168" i="1"/>
  <c r="K168" i="1"/>
  <c r="L168" i="1"/>
  <c r="I169" i="1"/>
  <c r="J169" i="1"/>
  <c r="K169" i="1"/>
  <c r="L169" i="1"/>
  <c r="I170" i="1"/>
  <c r="J170" i="1"/>
  <c r="K170" i="1"/>
  <c r="L170" i="1"/>
  <c r="I171" i="1"/>
  <c r="J171" i="1"/>
  <c r="K171" i="1"/>
  <c r="L171" i="1"/>
  <c r="I172" i="1"/>
  <c r="J172" i="1"/>
  <c r="K172" i="1"/>
  <c r="L172" i="1"/>
  <c r="I173" i="1"/>
  <c r="J173" i="1"/>
  <c r="K173" i="1"/>
  <c r="L173" i="1"/>
  <c r="I174" i="1"/>
  <c r="J174" i="1"/>
  <c r="K174" i="1"/>
  <c r="L174" i="1"/>
  <c r="I175" i="1"/>
  <c r="J175" i="1"/>
  <c r="K175" i="1"/>
  <c r="L175" i="1"/>
  <c r="I176" i="1"/>
  <c r="J176" i="1"/>
  <c r="K176" i="1"/>
  <c r="L176" i="1"/>
  <c r="I177" i="1"/>
  <c r="J177" i="1"/>
  <c r="K177" i="1"/>
  <c r="L177" i="1"/>
  <c r="I178" i="1"/>
  <c r="J178" i="1"/>
  <c r="K178" i="1"/>
  <c r="L178" i="1"/>
  <c r="I179" i="1"/>
  <c r="J179" i="1"/>
  <c r="K179" i="1"/>
  <c r="L179" i="1"/>
  <c r="I180" i="1"/>
  <c r="J180" i="1"/>
  <c r="K180" i="1"/>
  <c r="L180" i="1"/>
  <c r="I181" i="1"/>
  <c r="J181" i="1"/>
  <c r="K181" i="1"/>
  <c r="L181" i="1"/>
  <c r="I182" i="1"/>
  <c r="J182" i="1"/>
  <c r="K182" i="1"/>
  <c r="L182" i="1"/>
  <c r="I183" i="1"/>
  <c r="J183" i="1"/>
  <c r="K183" i="1"/>
  <c r="L183" i="1"/>
  <c r="I184" i="1"/>
  <c r="J184" i="1"/>
  <c r="K184" i="1"/>
  <c r="L184" i="1"/>
  <c r="I185" i="1"/>
  <c r="J185" i="1"/>
  <c r="K185" i="1"/>
  <c r="L185" i="1"/>
  <c r="I186" i="1"/>
  <c r="J186" i="1"/>
  <c r="K186" i="1"/>
  <c r="L186" i="1"/>
  <c r="I187" i="1"/>
  <c r="J187" i="1"/>
  <c r="K187" i="1"/>
  <c r="L187" i="1"/>
  <c r="I188" i="1"/>
  <c r="J188" i="1"/>
  <c r="K188" i="1"/>
  <c r="L188" i="1"/>
  <c r="I189" i="1"/>
  <c r="J189" i="1"/>
  <c r="K189" i="1"/>
  <c r="L189" i="1"/>
  <c r="I190" i="1"/>
  <c r="J190" i="1"/>
  <c r="K190" i="1"/>
  <c r="L190" i="1"/>
  <c r="I191" i="1"/>
  <c r="J191" i="1"/>
  <c r="K191" i="1"/>
  <c r="L191" i="1"/>
  <c r="I192" i="1"/>
  <c r="J192" i="1"/>
  <c r="K192" i="1"/>
  <c r="L192" i="1"/>
  <c r="I193" i="1"/>
  <c r="J193" i="1"/>
  <c r="K193" i="1"/>
  <c r="L193" i="1"/>
  <c r="I194" i="1"/>
  <c r="J194" i="1"/>
  <c r="K194" i="1"/>
  <c r="L194" i="1"/>
  <c r="I195" i="1"/>
  <c r="J195" i="1"/>
  <c r="K195" i="1"/>
  <c r="L195" i="1"/>
  <c r="I196" i="1"/>
  <c r="J196" i="1"/>
  <c r="K196" i="1"/>
  <c r="L196" i="1"/>
  <c r="I197" i="1"/>
  <c r="J197" i="1"/>
  <c r="K197" i="1"/>
  <c r="L197" i="1"/>
  <c r="I198" i="1"/>
  <c r="J198" i="1"/>
  <c r="K198" i="1"/>
  <c r="L198" i="1"/>
  <c r="I199" i="1"/>
  <c r="J199" i="1"/>
  <c r="K199" i="1"/>
  <c r="L199" i="1"/>
  <c r="I200" i="1"/>
  <c r="J200" i="1"/>
  <c r="K200" i="1"/>
  <c r="L200" i="1"/>
  <c r="I201" i="1"/>
  <c r="J201" i="1"/>
  <c r="K201" i="1"/>
  <c r="L201" i="1"/>
  <c r="I202" i="1"/>
  <c r="J202" i="1"/>
  <c r="K202" i="1"/>
  <c r="L202" i="1"/>
  <c r="I203" i="1"/>
  <c r="J203" i="1"/>
  <c r="K203" i="1"/>
  <c r="L203" i="1"/>
  <c r="I204" i="1"/>
  <c r="J204" i="1"/>
  <c r="K204" i="1"/>
  <c r="L204" i="1"/>
  <c r="I205" i="1"/>
  <c r="J205" i="1"/>
  <c r="K205" i="1"/>
  <c r="L205" i="1"/>
  <c r="I206" i="1"/>
  <c r="J206" i="1"/>
  <c r="K206" i="1"/>
  <c r="L206" i="1"/>
  <c r="I207" i="1"/>
  <c r="J207" i="1"/>
  <c r="K207" i="1"/>
  <c r="L207" i="1"/>
  <c r="I208" i="1"/>
  <c r="J208" i="1"/>
  <c r="K208" i="1"/>
  <c r="L208" i="1"/>
  <c r="I209" i="1"/>
  <c r="J209" i="1"/>
  <c r="K209" i="1"/>
  <c r="L209" i="1"/>
  <c r="I210" i="1"/>
  <c r="J210" i="1"/>
  <c r="K210" i="1"/>
  <c r="L210" i="1"/>
  <c r="I211" i="1"/>
  <c r="J211" i="1"/>
  <c r="K211" i="1"/>
  <c r="L211" i="1"/>
  <c r="I212" i="1"/>
  <c r="J212" i="1"/>
  <c r="K212" i="1"/>
  <c r="L212" i="1"/>
  <c r="I213" i="1"/>
  <c r="J213" i="1"/>
  <c r="K213" i="1"/>
  <c r="L213" i="1"/>
  <c r="I214" i="1"/>
  <c r="J214" i="1"/>
  <c r="K214" i="1"/>
  <c r="L214" i="1"/>
  <c r="I215" i="1"/>
  <c r="J215" i="1"/>
  <c r="K215" i="1"/>
  <c r="L215" i="1"/>
  <c r="I216" i="1"/>
  <c r="J216" i="1"/>
  <c r="K216" i="1"/>
  <c r="L216" i="1"/>
  <c r="I217" i="1"/>
  <c r="J217" i="1"/>
  <c r="K217" i="1"/>
  <c r="L217" i="1"/>
  <c r="I218" i="1"/>
  <c r="J218" i="1"/>
  <c r="K218" i="1"/>
  <c r="L218" i="1"/>
  <c r="I219" i="1"/>
  <c r="J219" i="1"/>
  <c r="K219" i="1"/>
  <c r="L219" i="1"/>
  <c r="I220" i="1"/>
  <c r="J220" i="1"/>
  <c r="K220" i="1"/>
  <c r="L220" i="1"/>
  <c r="I221" i="1"/>
  <c r="J221" i="1"/>
  <c r="K221" i="1"/>
  <c r="L221" i="1"/>
  <c r="I222" i="1"/>
  <c r="J222" i="1"/>
  <c r="K222" i="1"/>
  <c r="L222" i="1"/>
  <c r="I223" i="1"/>
  <c r="J223" i="1"/>
  <c r="K223" i="1"/>
  <c r="L223" i="1"/>
  <c r="I224" i="1"/>
  <c r="J224" i="1"/>
  <c r="K224" i="1"/>
  <c r="L224" i="1"/>
  <c r="I225" i="1"/>
  <c r="J225" i="1"/>
  <c r="K225" i="1"/>
  <c r="L225" i="1"/>
  <c r="I226" i="1"/>
  <c r="J226" i="1"/>
  <c r="K226" i="1"/>
  <c r="L226" i="1"/>
  <c r="I227" i="1"/>
  <c r="J227" i="1"/>
  <c r="K227" i="1"/>
  <c r="L227" i="1"/>
  <c r="I228" i="1"/>
  <c r="J228" i="1"/>
  <c r="K228" i="1"/>
  <c r="L228" i="1"/>
  <c r="I229" i="1"/>
  <c r="J229" i="1"/>
  <c r="K229" i="1"/>
  <c r="L229" i="1"/>
  <c r="I230" i="1"/>
  <c r="J230" i="1"/>
  <c r="K230" i="1"/>
  <c r="L230" i="1"/>
  <c r="I231" i="1"/>
  <c r="J231" i="1"/>
  <c r="K231" i="1"/>
  <c r="L231" i="1"/>
  <c r="I232" i="1"/>
  <c r="J232" i="1"/>
  <c r="K232" i="1"/>
  <c r="L232" i="1"/>
  <c r="I233" i="1"/>
  <c r="J233" i="1"/>
  <c r="K233" i="1"/>
  <c r="L233" i="1"/>
  <c r="I234" i="1"/>
  <c r="J234" i="1"/>
  <c r="K234" i="1"/>
  <c r="L234" i="1"/>
  <c r="I235" i="1"/>
  <c r="J235" i="1"/>
  <c r="K235" i="1"/>
  <c r="L235" i="1"/>
  <c r="I236" i="1"/>
  <c r="J236" i="1"/>
  <c r="K236" i="1"/>
  <c r="L236" i="1"/>
  <c r="I237" i="1"/>
  <c r="J237" i="1"/>
  <c r="K237" i="1"/>
  <c r="L237" i="1"/>
  <c r="I238" i="1"/>
  <c r="J238" i="1"/>
  <c r="K238" i="1"/>
  <c r="L238" i="1"/>
  <c r="I239" i="1"/>
  <c r="J239" i="1"/>
  <c r="K239" i="1"/>
  <c r="L239" i="1"/>
  <c r="I240" i="1"/>
  <c r="J240" i="1"/>
  <c r="K240" i="1"/>
  <c r="L240" i="1"/>
  <c r="I241" i="1"/>
  <c r="J241" i="1"/>
  <c r="K241" i="1"/>
  <c r="L241" i="1"/>
  <c r="I242" i="1"/>
  <c r="J242" i="1"/>
  <c r="K242" i="1"/>
  <c r="L242" i="1"/>
  <c r="I243" i="1"/>
  <c r="J243" i="1"/>
  <c r="K243" i="1"/>
  <c r="L243" i="1"/>
  <c r="I244" i="1"/>
  <c r="J244" i="1"/>
  <c r="K244" i="1"/>
  <c r="L244" i="1"/>
  <c r="I245" i="1"/>
  <c r="J245" i="1"/>
  <c r="K245" i="1"/>
  <c r="L245" i="1"/>
  <c r="I246" i="1"/>
  <c r="J246" i="1"/>
  <c r="K246" i="1"/>
  <c r="L246" i="1"/>
  <c r="I247" i="1"/>
  <c r="J247" i="1"/>
  <c r="K247" i="1"/>
  <c r="L247" i="1"/>
  <c r="I248" i="1"/>
  <c r="J248" i="1"/>
  <c r="K248" i="1"/>
  <c r="L248" i="1"/>
  <c r="I249" i="1"/>
  <c r="J249" i="1"/>
  <c r="K249" i="1"/>
  <c r="L249" i="1"/>
  <c r="I250" i="1"/>
  <c r="J250" i="1"/>
  <c r="K250" i="1"/>
  <c r="L250" i="1"/>
  <c r="I251" i="1"/>
  <c r="J251" i="1"/>
  <c r="K251" i="1"/>
  <c r="L251" i="1"/>
  <c r="I252" i="1"/>
  <c r="J252" i="1"/>
  <c r="K252" i="1"/>
  <c r="L252" i="1"/>
  <c r="I253" i="1"/>
  <c r="J253" i="1"/>
  <c r="K253" i="1"/>
  <c r="L253" i="1"/>
  <c r="I254" i="1"/>
  <c r="J254" i="1"/>
  <c r="K254" i="1"/>
  <c r="L254" i="1"/>
  <c r="I255" i="1"/>
  <c r="J255" i="1"/>
  <c r="K255" i="1"/>
  <c r="L255" i="1"/>
  <c r="I256" i="1"/>
  <c r="J256" i="1"/>
  <c r="K256" i="1"/>
  <c r="L256" i="1"/>
  <c r="I257" i="1"/>
  <c r="J257" i="1"/>
  <c r="K257" i="1"/>
  <c r="L257" i="1"/>
  <c r="I258" i="1"/>
  <c r="J258" i="1"/>
  <c r="K258" i="1"/>
  <c r="L258" i="1"/>
  <c r="I259" i="1"/>
  <c r="J259" i="1"/>
  <c r="K259" i="1"/>
  <c r="L259" i="1"/>
  <c r="I260" i="1"/>
  <c r="J260" i="1"/>
  <c r="K260" i="1"/>
  <c r="L26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" i="1"/>
  <c r="I71" i="1" l="1"/>
  <c r="J71" i="1"/>
  <c r="K71" i="1"/>
  <c r="L71" i="1"/>
  <c r="M71" i="1"/>
  <c r="L2" i="1"/>
  <c r="K2" i="1"/>
  <c r="J2" i="1"/>
  <c r="I2" i="1"/>
</calcChain>
</file>

<file path=xl/sharedStrings.xml><?xml version="1.0" encoding="utf-8"?>
<sst xmlns="http://schemas.openxmlformats.org/spreadsheetml/2006/main" count="1050" uniqueCount="786">
  <si>
    <t>No</t>
  </si>
  <si>
    <t>当選データ</t>
  </si>
  <si>
    <t>日付抜き取り</t>
  </si>
  <si>
    <t>ここで置換</t>
  </si>
  <si>
    <t>スペース削除</t>
  </si>
  <si>
    <t>OK</t>
  </si>
  <si>
    <t>数値抜き取り</t>
  </si>
  <si>
    <t>合体</t>
  </si>
  <si>
    <t>1,</t>
  </si>
  <si>
    <t>2021年1月4日    489 3299</t>
  </si>
  <si>
    <t>2021/1/4,</t>
  </si>
  <si>
    <t>2,</t>
  </si>
  <si>
    <t>2021年1月5日    715 1530</t>
  </si>
  <si>
    <t>2021/1/5,</t>
  </si>
  <si>
    <t>3,</t>
  </si>
  <si>
    <t>2021年1月6日    325 7155</t>
  </si>
  <si>
    <t>2021/1/6,</t>
  </si>
  <si>
    <t>4,</t>
  </si>
  <si>
    <t>2021年1月7日    762 1974</t>
  </si>
  <si>
    <t>2021/1/7, </t>
  </si>
  <si>
    <t>5,</t>
  </si>
  <si>
    <t>2021年1月8日    229 5852</t>
  </si>
  <si>
    <t>2021/1/8, </t>
  </si>
  <si>
    <t>6,</t>
  </si>
  <si>
    <t>2021年1月11日   051 6497</t>
  </si>
  <si>
    <t>2021/1/11,</t>
  </si>
  <si>
    <t>7,</t>
  </si>
  <si>
    <t>2021年1月12日   197 8695</t>
  </si>
  <si>
    <t>2021/1/12,</t>
  </si>
  <si>
    <t>8,</t>
  </si>
  <si>
    <t>2021年1月13日   517 1985</t>
  </si>
  <si>
    <t>2021/1/13,</t>
  </si>
  <si>
    <t>9,</t>
  </si>
  <si>
    <t>2021年1月14日   053 4886</t>
  </si>
  <si>
    <t>2021/1/14,</t>
  </si>
  <si>
    <t>10,</t>
  </si>
  <si>
    <t>2021年1月15日   740 0983</t>
  </si>
  <si>
    <t>2021/1/15,</t>
  </si>
  <si>
    <t>11,</t>
  </si>
  <si>
    <t>2021年1月18日   240 5172</t>
  </si>
  <si>
    <t>2021/1/18,</t>
  </si>
  <si>
    <t>12,</t>
  </si>
  <si>
    <t>2021年1月19日   355 8877</t>
  </si>
  <si>
    <t>2021/1/19,</t>
  </si>
  <si>
    <t>13,</t>
  </si>
  <si>
    <t>2021年1月20日   294 3380</t>
  </si>
  <si>
    <t>2021/1/20,</t>
  </si>
  <si>
    <t>14,</t>
  </si>
  <si>
    <t>2021年1月21日   923 4738</t>
  </si>
  <si>
    <t>2021/1/21,</t>
  </si>
  <si>
    <t>15,</t>
  </si>
  <si>
    <t>2021年1月22日   635 1605</t>
  </si>
  <si>
    <t>2021/1/22,</t>
  </si>
  <si>
    <t>16,</t>
  </si>
  <si>
    <t>2021年1月25日   196 2030</t>
  </si>
  <si>
    <t>2021/1/25,</t>
  </si>
  <si>
    <t>17,</t>
  </si>
  <si>
    <t>2021年1月26日   240 4298</t>
  </si>
  <si>
    <t>2021/1/26,</t>
  </si>
  <si>
    <t>18,</t>
  </si>
  <si>
    <t>2021年1月27日   602 7754</t>
  </si>
  <si>
    <t>2021/1/27,</t>
  </si>
  <si>
    <t>19,</t>
  </si>
  <si>
    <t>2021年1月28日   951 1167</t>
  </si>
  <si>
    <t>2021/1/28,</t>
  </si>
  <si>
    <t>20,</t>
  </si>
  <si>
    <t>2021年1月29日   698 2537</t>
  </si>
  <si>
    <t>2021/1/29,</t>
  </si>
  <si>
    <t>21,</t>
  </si>
  <si>
    <t>2021年2月1日    514 5346</t>
  </si>
  <si>
    <t>2021/2/1,</t>
  </si>
  <si>
    <t>22,</t>
  </si>
  <si>
    <t>2021年2月2日    509 7148</t>
  </si>
  <si>
    <t>2021/2/2,</t>
  </si>
  <si>
    <t>23,</t>
  </si>
  <si>
    <t>2021年2月3日    398 8752</t>
  </si>
  <si>
    <t>2021/2/3,</t>
  </si>
  <si>
    <t>24,</t>
  </si>
  <si>
    <t>2021年2月4日    704 0169</t>
  </si>
  <si>
    <t>2021/2/4,</t>
  </si>
  <si>
    <t>25,</t>
  </si>
  <si>
    <t>2021年2月5日    281 3110</t>
  </si>
  <si>
    <t>2021/2/5,</t>
  </si>
  <si>
    <t>26,</t>
  </si>
  <si>
    <t>2021年2月8日    357 6587</t>
  </si>
  <si>
    <t>2021/2/8,</t>
  </si>
  <si>
    <t>27,</t>
  </si>
  <si>
    <t>2021年2月9日    486 4728</t>
  </si>
  <si>
    <t>2021/2/9,</t>
  </si>
  <si>
    <t>28,</t>
  </si>
  <si>
    <t>2021年2月10日   843 4377</t>
  </si>
  <si>
    <t>2021/2/10,</t>
  </si>
  <si>
    <t>29,</t>
  </si>
  <si>
    <t>2021年2月11日   641 3840</t>
  </si>
  <si>
    <t>2021/2/11,</t>
  </si>
  <si>
    <t>30,</t>
  </si>
  <si>
    <t>2021年2月12日   000 6012</t>
  </si>
  <si>
    <t>2021/2/12,</t>
  </si>
  <si>
    <t>31,</t>
  </si>
  <si>
    <t>2021年2月15日   744 7944</t>
  </si>
  <si>
    <t>2021/2/15,</t>
  </si>
  <si>
    <t>32,</t>
  </si>
  <si>
    <t>2021年2月16日   785 6901</t>
  </si>
  <si>
    <t>2021/2/16,</t>
  </si>
  <si>
    <t>33,</t>
  </si>
  <si>
    <t>2021年2月17日   003 2968</t>
  </si>
  <si>
    <t>2021/2/17,</t>
  </si>
  <si>
    <t>34,</t>
  </si>
  <si>
    <t>2021年2月18日   912 9635</t>
  </si>
  <si>
    <t>2021/2/18,</t>
  </si>
  <si>
    <t>35,</t>
  </si>
  <si>
    <t>2021年2月19日   154 8886</t>
  </si>
  <si>
    <t>2021/2/19,</t>
  </si>
  <si>
    <t>36,</t>
  </si>
  <si>
    <t>2021年2月22日   179 4246</t>
  </si>
  <si>
    <t>2021/2/22,</t>
  </si>
  <si>
    <t>37,</t>
  </si>
  <si>
    <t>2021年2月23日   862 1968</t>
  </si>
  <si>
    <t>2021/2/23,</t>
  </si>
  <si>
    <t>38,</t>
  </si>
  <si>
    <t>2021年2月24日   385 9491</t>
  </si>
  <si>
    <t>2021/2/24,</t>
  </si>
  <si>
    <t>39,</t>
  </si>
  <si>
    <t>2021年2月25日   997 9613</t>
  </si>
  <si>
    <t>2021/2/25,</t>
  </si>
  <si>
    <t>40,</t>
  </si>
  <si>
    <t>2021年2月26日   298 9691</t>
  </si>
  <si>
    <t>2021/2/26,</t>
  </si>
  <si>
    <t>41,</t>
  </si>
  <si>
    <t>2021年3月1日    246 5378</t>
  </si>
  <si>
    <t>2021/3/1,</t>
  </si>
  <si>
    <t>42,</t>
  </si>
  <si>
    <t>2021年3月2日    934 8117</t>
  </si>
  <si>
    <t>2021/3/2,</t>
  </si>
  <si>
    <t>43,</t>
  </si>
  <si>
    <t>2021年3月3日    291 2658</t>
  </si>
  <si>
    <t>2021/3/3,</t>
  </si>
  <si>
    <t>44,</t>
  </si>
  <si>
    <t>2021年3月4日    931 3364</t>
  </si>
  <si>
    <t>2021/3/4,</t>
  </si>
  <si>
    <t>45,</t>
  </si>
  <si>
    <t>2021年3月5日    831 4525</t>
  </si>
  <si>
    <t>2021/3/5,</t>
  </si>
  <si>
    <t>46,</t>
  </si>
  <si>
    <t>2021年3月8日    097 6290</t>
  </si>
  <si>
    <t>2021/3/8,</t>
  </si>
  <si>
    <t>47,</t>
  </si>
  <si>
    <t>2021年3月9日    807 3930</t>
  </si>
  <si>
    <t>2021/3/9,</t>
  </si>
  <si>
    <t>48,</t>
  </si>
  <si>
    <t>2021年3月10日   566 2925</t>
  </si>
  <si>
    <t>2021/3/10,</t>
  </si>
  <si>
    <t>49,</t>
  </si>
  <si>
    <t>2021年3月11日   767 6030</t>
  </si>
  <si>
    <t>2021/3/11,</t>
  </si>
  <si>
    <t>50,</t>
  </si>
  <si>
    <t>2021年3月12日   759 2979</t>
  </si>
  <si>
    <t>2021/3/12,</t>
  </si>
  <si>
    <t>51,</t>
  </si>
  <si>
    <t>2021年3月15日   351 3557</t>
  </si>
  <si>
    <t>2021/3/15,</t>
  </si>
  <si>
    <t>52,</t>
  </si>
  <si>
    <t>2021年3月16日   642 3853</t>
  </si>
  <si>
    <t>2021/3/16,</t>
  </si>
  <si>
    <t>53,</t>
  </si>
  <si>
    <t>2021年3月17日   881 5553</t>
  </si>
  <si>
    <t>2021/3/17,</t>
  </si>
  <si>
    <t>54,</t>
  </si>
  <si>
    <t>2021年3月18日   347 7369</t>
  </si>
  <si>
    <t>2021/3/18,</t>
  </si>
  <si>
    <t>55,</t>
  </si>
  <si>
    <t>2021年3月19日   989 4167</t>
  </si>
  <si>
    <t>2021/3/19,</t>
  </si>
  <si>
    <t>56,</t>
  </si>
  <si>
    <t>2021年3月22日   048 3237</t>
  </si>
  <si>
    <t>2021/3/22,</t>
  </si>
  <si>
    <t>57,</t>
  </si>
  <si>
    <t>2021年3月23日   369 2510</t>
  </si>
  <si>
    <t>2021/3/23,</t>
  </si>
  <si>
    <t>58,</t>
  </si>
  <si>
    <t>2021年3月24日   876 3193</t>
  </si>
  <si>
    <t>2021/3/24,</t>
  </si>
  <si>
    <t>59,</t>
  </si>
  <si>
    <t>2021年3月25日   548 3658</t>
  </si>
  <si>
    <t>2021/3/25,</t>
  </si>
  <si>
    <t>60,</t>
  </si>
  <si>
    <t>2021年3月26日   020 8114</t>
  </si>
  <si>
    <t>2021/3/26,</t>
  </si>
  <si>
    <t>61,</t>
  </si>
  <si>
    <t>2021年3月29日   574 5681</t>
  </si>
  <si>
    <t>2021/3/29,</t>
  </si>
  <si>
    <t>62,</t>
  </si>
  <si>
    <t>2021年3月30日   526 0269</t>
  </si>
  <si>
    <t>2021/3/30,</t>
  </si>
  <si>
    <t>63,</t>
  </si>
  <si>
    <t>2021年3月31日   985 9997</t>
  </si>
  <si>
    <t>2021/3/31,</t>
  </si>
  <si>
    <t>64,</t>
  </si>
  <si>
    <t>2021年4月1日    655 6215</t>
  </si>
  <si>
    <t>2021/4/1, </t>
  </si>
  <si>
    <t>65,</t>
  </si>
  <si>
    <t>2021年4月2日    933 0362</t>
  </si>
  <si>
    <t>2021/4/2, </t>
  </si>
  <si>
    <t>66,</t>
  </si>
  <si>
    <t>2021年4月5日    415 0871</t>
  </si>
  <si>
    <t>2021/4/5, </t>
  </si>
  <si>
    <t>67,</t>
  </si>
  <si>
    <t>2021年4月6日    053 2145</t>
  </si>
  <si>
    <t>2021/4/6, </t>
  </si>
  <si>
    <t>68,</t>
  </si>
  <si>
    <t>2021年4月7日    742 9142</t>
  </si>
  <si>
    <t>2021/4/7, </t>
  </si>
  <si>
    <t>69,</t>
  </si>
  <si>
    <t>2021年4月8日    611 8505</t>
  </si>
  <si>
    <t>2021/4/8, </t>
  </si>
  <si>
    <t>70,</t>
  </si>
  <si>
    <t>2021年4月9日    684 3745</t>
  </si>
  <si>
    <t>2021/4/9, </t>
  </si>
  <si>
    <t>71,</t>
  </si>
  <si>
    <t>2021年4月12日   178 2524</t>
  </si>
  <si>
    <t>2021/4/12,</t>
  </si>
  <si>
    <t>72,</t>
  </si>
  <si>
    <t>2021年4月13日   136 7330</t>
  </si>
  <si>
    <t>2021/4/13,</t>
  </si>
  <si>
    <t>73,</t>
  </si>
  <si>
    <t>2021年4月14日   680 6017</t>
  </si>
  <si>
    <t>2021/4/14,</t>
  </si>
  <si>
    <t>74,</t>
  </si>
  <si>
    <t>2021年4月15日   016 2778</t>
  </si>
  <si>
    <t>2021/4/15,</t>
  </si>
  <si>
    <t>75,</t>
  </si>
  <si>
    <t>2021年4月16日   623 0788</t>
  </si>
  <si>
    <t>2021/4/16,</t>
  </si>
  <si>
    <t>76,</t>
  </si>
  <si>
    <t>2021年4月19日   750 5711</t>
  </si>
  <si>
    <t>2021/4/19,</t>
  </si>
  <si>
    <t>77,</t>
  </si>
  <si>
    <t>2021年4月20日   526 5063</t>
  </si>
  <si>
    <t>2021/4/20,</t>
  </si>
  <si>
    <t>78,</t>
  </si>
  <si>
    <t>2021年4月21日   258 1798</t>
  </si>
  <si>
    <t>2021/4/21,</t>
  </si>
  <si>
    <t>79,</t>
  </si>
  <si>
    <t>2021年4月22日   148 7294</t>
  </si>
  <si>
    <t>2021/4/22,</t>
  </si>
  <si>
    <t>80,</t>
  </si>
  <si>
    <t>2021年4月23日   762 9706</t>
  </si>
  <si>
    <t>2021/4/23,</t>
  </si>
  <si>
    <t>81,</t>
  </si>
  <si>
    <t>2021年4月26日   109 3793</t>
  </si>
  <si>
    <t>2021/4/26,</t>
  </si>
  <si>
    <t>82,</t>
  </si>
  <si>
    <t>2021年4月27日   053 3193</t>
  </si>
  <si>
    <t>2021/4/27,</t>
  </si>
  <si>
    <t>83,</t>
  </si>
  <si>
    <t>2021年4月28日   537 2801</t>
  </si>
  <si>
    <t>2021/4/28,</t>
  </si>
  <si>
    <t>84,</t>
  </si>
  <si>
    <t>2021年4月29日   755 2307</t>
  </si>
  <si>
    <t>2021/4/29,</t>
  </si>
  <si>
    <t>85,</t>
  </si>
  <si>
    <t>2021年4月30日   050 9672</t>
  </si>
  <si>
    <t>2021/4/30,</t>
  </si>
  <si>
    <t>86,</t>
  </si>
  <si>
    <t>2021年5月3日    971 4423</t>
  </si>
  <si>
    <t>2021/5/3, </t>
  </si>
  <si>
    <t>87,</t>
  </si>
  <si>
    <t>2021年5月4日    465 0388</t>
  </si>
  <si>
    <t>2021/5/4, </t>
  </si>
  <si>
    <t>88,</t>
  </si>
  <si>
    <t>2021年5月5日    782 6137</t>
  </si>
  <si>
    <t>2021/5/5, </t>
  </si>
  <si>
    <t>89,</t>
  </si>
  <si>
    <t>2021年5月6日    475 3598</t>
  </si>
  <si>
    <t>2021/5/6, </t>
  </si>
  <si>
    <t>90,</t>
  </si>
  <si>
    <t>2021年5月7日    068 0982</t>
  </si>
  <si>
    <t>2021/5/7, </t>
  </si>
  <si>
    <t>91,</t>
  </si>
  <si>
    <t>2021年5月10日   860 2788</t>
  </si>
  <si>
    <t>2021/5/10,</t>
  </si>
  <si>
    <t>92,</t>
  </si>
  <si>
    <t>2021年5月11日   753 4213</t>
  </si>
  <si>
    <t>2021/5/11,</t>
  </si>
  <si>
    <t>93,</t>
  </si>
  <si>
    <t>2021年5月12日   265 1685</t>
  </si>
  <si>
    <t>2021/5/12,</t>
  </si>
  <si>
    <t>94,</t>
  </si>
  <si>
    <t>2021年5月13日   958 0448</t>
  </si>
  <si>
    <t>2021/5/13,</t>
  </si>
  <si>
    <t>95,</t>
  </si>
  <si>
    <t>2021年5月14日   863 5039</t>
  </si>
  <si>
    <t>2021/5/14,</t>
  </si>
  <si>
    <t>96,</t>
  </si>
  <si>
    <t>2021年5月17日   615 1790</t>
  </si>
  <si>
    <t>2021/5/17,</t>
  </si>
  <si>
    <t>97,</t>
  </si>
  <si>
    <t>2021年5月18日   270 1482</t>
  </si>
  <si>
    <t>2021/5/18,</t>
  </si>
  <si>
    <t>98,</t>
  </si>
  <si>
    <t>2021年5月19日   855 6075</t>
  </si>
  <si>
    <t>2021/5/19,</t>
  </si>
  <si>
    <t>99,</t>
  </si>
  <si>
    <t>2021年5月20日   130 5815</t>
  </si>
  <si>
    <t>2021/5/20,</t>
  </si>
  <si>
    <t>100,</t>
  </si>
  <si>
    <t>2021年5月21日   151 0099</t>
  </si>
  <si>
    <t>2021/5/21,</t>
  </si>
  <si>
    <t>101,</t>
  </si>
  <si>
    <t>2021年5月24日   052 2734</t>
  </si>
  <si>
    <t>2021/5/24,</t>
  </si>
  <si>
    <t>102,</t>
  </si>
  <si>
    <t>2021年5月25日   369 5941</t>
  </si>
  <si>
    <t>2021/5/25,</t>
  </si>
  <si>
    <t>103,</t>
  </si>
  <si>
    <t>2021年5月26日   576 1082</t>
  </si>
  <si>
    <t>2021/5/26,</t>
  </si>
  <si>
    <t>104,</t>
  </si>
  <si>
    <t>2021年5月27日   635 0824</t>
  </si>
  <si>
    <t>2021/5/27,</t>
  </si>
  <si>
    <t>105,</t>
  </si>
  <si>
    <t>2021年5月28日   282 7368</t>
  </si>
  <si>
    <t>2021/5/28,</t>
  </si>
  <si>
    <t>106,</t>
  </si>
  <si>
    <t>2021年5月31日   493 5783</t>
  </si>
  <si>
    <t>2021/5/31,</t>
  </si>
  <si>
    <t>107,</t>
  </si>
  <si>
    <t>2021年6月1日    117 9087</t>
  </si>
  <si>
    <t>2021/6/1, </t>
  </si>
  <si>
    <t>108,</t>
  </si>
  <si>
    <t>2021年6月2日    948 1995</t>
  </si>
  <si>
    <t>2021/6/2, </t>
  </si>
  <si>
    <t>109,</t>
  </si>
  <si>
    <t>2021年6月3日    633 6469</t>
  </si>
  <si>
    <t>2021/6/3, </t>
  </si>
  <si>
    <t>110,</t>
  </si>
  <si>
    <t>2021年6月4日    227 5198</t>
  </si>
  <si>
    <t>2021/6/4, </t>
  </si>
  <si>
    <t>111,</t>
  </si>
  <si>
    <t>2021年6月7日    118 2759</t>
  </si>
  <si>
    <t>2021/6/7, </t>
  </si>
  <si>
    <t>112,</t>
  </si>
  <si>
    <t>2021年6月8日    841 1505</t>
  </si>
  <si>
    <t>2021/6/8, </t>
  </si>
  <si>
    <t>113,</t>
  </si>
  <si>
    <t>2021年6月9日    736 0625</t>
  </si>
  <si>
    <t>2021/6/9, </t>
  </si>
  <si>
    <t>114,</t>
  </si>
  <si>
    <t>2021年6月10日   746 9232</t>
  </si>
  <si>
    <t>2021/6/10,</t>
  </si>
  <si>
    <t>115,</t>
  </si>
  <si>
    <t>2021年6月11日   695 4903</t>
  </si>
  <si>
    <t>2021/6/11,</t>
  </si>
  <si>
    <t>116,</t>
  </si>
  <si>
    <t>2021年6月14日   901 6894</t>
  </si>
  <si>
    <t>2021/6/14,</t>
  </si>
  <si>
    <t>117,</t>
  </si>
  <si>
    <t>2021年6月15日   108 4730</t>
  </si>
  <si>
    <t>2021/6/15,</t>
  </si>
  <si>
    <t>118,</t>
  </si>
  <si>
    <t>2021年6月16日   553 3555</t>
  </si>
  <si>
    <t>2021/6/16,</t>
  </si>
  <si>
    <t>119,</t>
  </si>
  <si>
    <t>2021年6月17日   089 6637</t>
  </si>
  <si>
    <t>2021/6/17,</t>
  </si>
  <si>
    <t>120,</t>
  </si>
  <si>
    <t>2021年6月18日   752 7158</t>
  </si>
  <si>
    <t>2021/6/18,</t>
  </si>
  <si>
    <t>121,</t>
  </si>
  <si>
    <t>2021年6月21日   367 9136</t>
  </si>
  <si>
    <t>2021/6/21,</t>
  </si>
  <si>
    <t>122,</t>
  </si>
  <si>
    <t>2021年6月22日   400 0130</t>
  </si>
  <si>
    <t>2021/6/22,</t>
  </si>
  <si>
    <t>123,</t>
  </si>
  <si>
    <t>2021年6月23日   836 0892</t>
  </si>
  <si>
    <t>2021/6/23,</t>
  </si>
  <si>
    <t>124,</t>
  </si>
  <si>
    <t>2021年6月24日   153 2920</t>
  </si>
  <si>
    <t>2021/6/24,</t>
  </si>
  <si>
    <t>125,</t>
  </si>
  <si>
    <t>2021年6月25日   093 2479</t>
  </si>
  <si>
    <t>2021/6/25,</t>
  </si>
  <si>
    <t>126,</t>
  </si>
  <si>
    <t>2021年6月28日   479 5047</t>
  </si>
  <si>
    <t>2021/6/28,</t>
  </si>
  <si>
    <t>127,</t>
  </si>
  <si>
    <t>2021年6月29日   736 3268</t>
  </si>
  <si>
    <t>2021/6/29,</t>
  </si>
  <si>
    <t>128,</t>
  </si>
  <si>
    <t>2021年6月30日   389 1275</t>
  </si>
  <si>
    <t>2021/6/30,</t>
  </si>
  <si>
    <t>129,</t>
  </si>
  <si>
    <t>2021年7月1日    472 8941</t>
  </si>
  <si>
    <t>2021/7/1, </t>
  </si>
  <si>
    <t>130,</t>
  </si>
  <si>
    <t>2021年7月2日    759 1382</t>
  </si>
  <si>
    <t>2021/7/2, </t>
  </si>
  <si>
    <t>131,</t>
  </si>
  <si>
    <t>2021年7月5日    591 8819</t>
  </si>
  <si>
    <t>2021/7/5, </t>
  </si>
  <si>
    <t>132,</t>
  </si>
  <si>
    <t>2021年7月6日    641 3130</t>
  </si>
  <si>
    <t>2021/7/6, </t>
  </si>
  <si>
    <t>133,</t>
  </si>
  <si>
    <t>2021年7月7日    888 8023</t>
  </si>
  <si>
    <t>2021/7/7, </t>
  </si>
  <si>
    <t>134,</t>
  </si>
  <si>
    <t>2021年7月8日    758 1903</t>
  </si>
  <si>
    <t>2021/7/8, </t>
  </si>
  <si>
    <t>135,</t>
  </si>
  <si>
    <t>2021年7月9日    292 1585</t>
  </si>
  <si>
    <t>2021/7/9, </t>
  </si>
  <si>
    <t>136,</t>
  </si>
  <si>
    <t>2021年7月12日   768 6915</t>
  </si>
  <si>
    <t>2021/7/12,</t>
  </si>
  <si>
    <t>137,</t>
  </si>
  <si>
    <t>2021年7月13日   293 5211</t>
  </si>
  <si>
    <t>2021/7/13,</t>
  </si>
  <si>
    <t>138,</t>
  </si>
  <si>
    <t>2021年7月14日   740 6992</t>
  </si>
  <si>
    <t>2021/7/14,</t>
  </si>
  <si>
    <t>139,</t>
  </si>
  <si>
    <t>2021年7月15日   920 0678</t>
  </si>
  <si>
    <t>2021/7/15,</t>
  </si>
  <si>
    <t>140,</t>
  </si>
  <si>
    <t>2021年7月16日   090 5104</t>
  </si>
  <si>
    <t>2021/7/16,</t>
  </si>
  <si>
    <t>141,</t>
  </si>
  <si>
    <t>2021年7月19日   415 6109</t>
  </si>
  <si>
    <t>2021/7/19,</t>
  </si>
  <si>
    <t>142,</t>
  </si>
  <si>
    <t>2021年7月20日   900 5038</t>
  </si>
  <si>
    <t>2021/7/20,</t>
  </si>
  <si>
    <t>143,</t>
  </si>
  <si>
    <t>2021年7月21日   803 6438</t>
  </si>
  <si>
    <t>2021/7/21,</t>
  </si>
  <si>
    <t>144,</t>
  </si>
  <si>
    <t>2021年7月22日   764 9921</t>
  </si>
  <si>
    <t>2021/7/22,</t>
  </si>
  <si>
    <t>145,</t>
  </si>
  <si>
    <t>2021年7月23日   378 1012</t>
  </si>
  <si>
    <t>2021/7/23,</t>
  </si>
  <si>
    <t>146,</t>
  </si>
  <si>
    <t>2021年7月26日   388 4594</t>
  </si>
  <si>
    <t>2021/7/26,</t>
  </si>
  <si>
    <t>147,</t>
  </si>
  <si>
    <t>2021年7月27日   556 7600</t>
  </si>
  <si>
    <t>2021/7/27,</t>
  </si>
  <si>
    <t>148,</t>
  </si>
  <si>
    <t>2021年7月28日   614 8763</t>
  </si>
  <si>
    <t>2021/7/28,</t>
  </si>
  <si>
    <t>149,</t>
  </si>
  <si>
    <t>2021年7月29日   764 1678</t>
  </si>
  <si>
    <t>2021/7/29,</t>
  </si>
  <si>
    <t>150,</t>
  </si>
  <si>
    <t>2021年7月30日   704 7506</t>
  </si>
  <si>
    <t>2021/7/30,</t>
  </si>
  <si>
    <t>151,</t>
  </si>
  <si>
    <t>2021年8月2日    239 9627</t>
  </si>
  <si>
    <t>2021/8/2, </t>
  </si>
  <si>
    <t>152,</t>
  </si>
  <si>
    <t>2021年8月3日    240 8365</t>
  </si>
  <si>
    <t>2021/8/3, </t>
  </si>
  <si>
    <t>153,</t>
  </si>
  <si>
    <t>2021年8月4日    696 1783</t>
  </si>
  <si>
    <t>2021/8/4, </t>
  </si>
  <si>
    <t>154,</t>
  </si>
  <si>
    <t>2021年8月5日    345 0798</t>
  </si>
  <si>
    <t>2021/8/5, </t>
  </si>
  <si>
    <t>155,</t>
  </si>
  <si>
    <t>2021年8月6日    163 9860</t>
  </si>
  <si>
    <t>2021/8/6, </t>
  </si>
  <si>
    <t>156,</t>
  </si>
  <si>
    <t>2021年8月9日    419 2085</t>
  </si>
  <si>
    <t>2021/8/9, </t>
  </si>
  <si>
    <t>157,</t>
  </si>
  <si>
    <t>2021年8月10日   599 2610</t>
  </si>
  <si>
    <t>2021/8/10,</t>
  </si>
  <si>
    <t>158,</t>
  </si>
  <si>
    <t>2021年8月11日   261 0985</t>
  </si>
  <si>
    <t>2021/8/11,</t>
  </si>
  <si>
    <t>159,</t>
  </si>
  <si>
    <t>2021年8月12日   745 8547</t>
  </si>
  <si>
    <t>2021/8/12,</t>
  </si>
  <si>
    <t>160,</t>
  </si>
  <si>
    <t>2021年8月13日   707 0949</t>
  </si>
  <si>
    <t>2021/8/13,</t>
  </si>
  <si>
    <t>161,</t>
  </si>
  <si>
    <t>2021年8月16日   746 7342</t>
  </si>
  <si>
    <t>2021/8/16,</t>
  </si>
  <si>
    <t>162,</t>
  </si>
  <si>
    <t>2021年8月17日   630 9191</t>
  </si>
  <si>
    <t>2021/8/17,</t>
  </si>
  <si>
    <t>163,</t>
  </si>
  <si>
    <t>2021年8月18日   144 4861</t>
  </si>
  <si>
    <t>2021/8/18,</t>
  </si>
  <si>
    <t>164,</t>
  </si>
  <si>
    <t>2021年8月19日   034 1275</t>
  </si>
  <si>
    <t>2021/8/19,</t>
  </si>
  <si>
    <t>165,</t>
  </si>
  <si>
    <t>2021年8月20日   862 6659</t>
  </si>
  <si>
    <t>2021/8/20,</t>
  </si>
  <si>
    <t>166,</t>
  </si>
  <si>
    <t>2021年8月23日   128 8494</t>
  </si>
  <si>
    <t>2021/8/23,</t>
  </si>
  <si>
    <t>167,</t>
  </si>
  <si>
    <t>2021年8月24日   841 2058</t>
  </si>
  <si>
    <t>2021/8/24,</t>
  </si>
  <si>
    <t>168,</t>
  </si>
  <si>
    <t>2021年8月25日   760 3500</t>
  </si>
  <si>
    <t>2021/8/25,</t>
  </si>
  <si>
    <t>169,</t>
  </si>
  <si>
    <t>2021年8月26日   987 3631</t>
  </si>
  <si>
    <t>2021/8/26,</t>
  </si>
  <si>
    <t>170,</t>
  </si>
  <si>
    <t>2021年8月27日   413 2615</t>
  </si>
  <si>
    <t>2021/8/27,</t>
  </si>
  <si>
    <t>171,</t>
  </si>
  <si>
    <t>2021年8月30日   412 0715</t>
  </si>
  <si>
    <t>2021/8/30,</t>
  </si>
  <si>
    <t>172,</t>
  </si>
  <si>
    <t>2021年8月31日   335 9879</t>
  </si>
  <si>
    <t>2021/8/31,</t>
  </si>
  <si>
    <t>173,</t>
  </si>
  <si>
    <t>2021年9月1日    502 4723</t>
  </si>
  <si>
    <t>2021/9/1, </t>
  </si>
  <si>
    <t>174,</t>
  </si>
  <si>
    <t>2021年9月2日    933 3476</t>
  </si>
  <si>
    <t>2021/9/2, </t>
  </si>
  <si>
    <t>175,</t>
  </si>
  <si>
    <t>2021年9月3日    099 4858</t>
  </si>
  <si>
    <t>2021/9/3, </t>
  </si>
  <si>
    <t>176,</t>
  </si>
  <si>
    <t>2021年9月6日    595 6163</t>
  </si>
  <si>
    <t>2021/9/6, </t>
  </si>
  <si>
    <t>177,</t>
  </si>
  <si>
    <t>2021年9月7日    059 0546</t>
  </si>
  <si>
    <t>2021/9/7, </t>
  </si>
  <si>
    <t>178,</t>
  </si>
  <si>
    <t>2021年9月8日    547 1022</t>
  </si>
  <si>
    <t>2021/9/8, </t>
  </si>
  <si>
    <t>179,</t>
  </si>
  <si>
    <t>2021年9月9日    916 3550</t>
  </si>
  <si>
    <t>2021/9/9, </t>
  </si>
  <si>
    <t>180,</t>
  </si>
  <si>
    <t>2021年9月10日   931 5853</t>
  </si>
  <si>
    <t>2021/9/10,</t>
  </si>
  <si>
    <t>181,</t>
  </si>
  <si>
    <t>2021年9月13日   040 9272</t>
  </si>
  <si>
    <t>2021/9/13,</t>
  </si>
  <si>
    <t>182,</t>
  </si>
  <si>
    <t>2021年9月14日   468 8885</t>
  </si>
  <si>
    <t>2021/9/14,</t>
  </si>
  <si>
    <t>183,</t>
  </si>
  <si>
    <t>2021年9月15日   032 2409</t>
  </si>
  <si>
    <t>2021/9/15,</t>
  </si>
  <si>
    <t>184,</t>
  </si>
  <si>
    <t>2021年9月16日   662 1108</t>
  </si>
  <si>
    <t>2021/9/16,</t>
  </si>
  <si>
    <t>185,</t>
  </si>
  <si>
    <t>2021年9月17日   714 3043</t>
  </si>
  <si>
    <t>2021/9/17,</t>
  </si>
  <si>
    <t>186,</t>
  </si>
  <si>
    <t>2021年9月20日   723 8694</t>
  </si>
  <si>
    <t>2021/9/20,</t>
  </si>
  <si>
    <t>187,</t>
  </si>
  <si>
    <t>2021年9月21日   114 6520</t>
  </si>
  <si>
    <t>2021/9/21,</t>
  </si>
  <si>
    <t>188,</t>
  </si>
  <si>
    <t>2021年9月22日   708 4433</t>
  </si>
  <si>
    <t>2021/9/22,</t>
  </si>
  <si>
    <t>189,</t>
  </si>
  <si>
    <t>2021年9月23日   975 0323</t>
  </si>
  <si>
    <t>2021/9/23,</t>
  </si>
  <si>
    <t>190,</t>
  </si>
  <si>
    <t>2021年9月24日   262 2873</t>
  </si>
  <si>
    <t>2021/9/24,</t>
  </si>
  <si>
    <t>191,</t>
  </si>
  <si>
    <t>2021年9月27日   275 6931</t>
  </si>
  <si>
    <t>2021/9/27,</t>
  </si>
  <si>
    <t>192,</t>
  </si>
  <si>
    <t>2021年9月28日   226 6157</t>
  </si>
  <si>
    <t>2021/9/28,</t>
  </si>
  <si>
    <t>193,</t>
  </si>
  <si>
    <t>2021年9月29日   610 4208</t>
  </si>
  <si>
    <t>2021/9/29,</t>
  </si>
  <si>
    <t>194,</t>
  </si>
  <si>
    <t>2021年9月30日   606 2691</t>
  </si>
  <si>
    <t>2021/9/30,</t>
  </si>
  <si>
    <t>195,</t>
  </si>
  <si>
    <t>2021年10月1日   910 9445</t>
  </si>
  <si>
    <t>2021/10/1,</t>
  </si>
  <si>
    <t>196,</t>
  </si>
  <si>
    <t>2021年10月4日   876 3144</t>
  </si>
  <si>
    <t>2021/10/4,</t>
  </si>
  <si>
    <t>197,</t>
  </si>
  <si>
    <t>2021年10月5日   033 3544</t>
  </si>
  <si>
    <t>2021/10/5,</t>
  </si>
  <si>
    <t>198,</t>
  </si>
  <si>
    <t>2021年10月6日   649 8464</t>
  </si>
  <si>
    <t>2021/10/6,</t>
  </si>
  <si>
    <t>199,</t>
  </si>
  <si>
    <t>2021年10月7日   716 7242</t>
  </si>
  <si>
    <t>2021/10/7,</t>
  </si>
  <si>
    <t>200,</t>
  </si>
  <si>
    <t>2021年10月8日   071 5041</t>
  </si>
  <si>
    <t>2021/10/8,</t>
  </si>
  <si>
    <t>201,</t>
  </si>
  <si>
    <t>2021年10月11日  473 1848</t>
  </si>
  <si>
    <t>2021/10/11,</t>
  </si>
  <si>
    <t>202,</t>
  </si>
  <si>
    <t>2021年10月12日  461 0563</t>
  </si>
  <si>
    <t>2021/10/12,</t>
  </si>
  <si>
    <t>203,</t>
  </si>
  <si>
    <t>2021年10月13日  642 9395</t>
  </si>
  <si>
    <t>2021/10/13,</t>
  </si>
  <si>
    <t>204,</t>
  </si>
  <si>
    <t>2021年10月14日  019 0436</t>
  </si>
  <si>
    <t>2021/10/14,</t>
  </si>
  <si>
    <t>205,</t>
  </si>
  <si>
    <t>2021年10月15日  968 2892</t>
  </si>
  <si>
    <t>2021/10/15,</t>
  </si>
  <si>
    <t>206,</t>
  </si>
  <si>
    <t>2021年10月18日  527 4201</t>
  </si>
  <si>
    <t>2021/10/18,</t>
  </si>
  <si>
    <t>207,</t>
  </si>
  <si>
    <t>2021年10月19日  491 6058</t>
  </si>
  <si>
    <t>2021/10/19,</t>
  </si>
  <si>
    <t>208,</t>
  </si>
  <si>
    <t>2021年10月20日  353 1109</t>
  </si>
  <si>
    <t>2021/10/20,</t>
  </si>
  <si>
    <t>209,</t>
  </si>
  <si>
    <t>2021年10月21日  722 4825</t>
  </si>
  <si>
    <t>2021/10/21,</t>
  </si>
  <si>
    <t>210,</t>
  </si>
  <si>
    <t>2021年10月22日  426 1869</t>
  </si>
  <si>
    <t>2021/10/22,</t>
  </si>
  <si>
    <t>211,</t>
  </si>
  <si>
    <t>2021年10月25日  970 2370</t>
  </si>
  <si>
    <t>2021/10/25,</t>
  </si>
  <si>
    <t>212,</t>
  </si>
  <si>
    <t>2021年10月26日  495 6918</t>
  </si>
  <si>
    <t>2021/10/26,</t>
  </si>
  <si>
    <t>213,</t>
  </si>
  <si>
    <t>2021年10月27日  488 5476</t>
  </si>
  <si>
    <t>2021/10/27,</t>
  </si>
  <si>
    <t>214,</t>
  </si>
  <si>
    <t>2021年10月28日  187 9442</t>
  </si>
  <si>
    <t>2021/10/28,</t>
  </si>
  <si>
    <t>215,</t>
  </si>
  <si>
    <t>2021年10月29日  236 2850</t>
  </si>
  <si>
    <t>2021/10/29,</t>
  </si>
  <si>
    <t>216,</t>
  </si>
  <si>
    <t>2021年11月1日   042 7063</t>
  </si>
  <si>
    <t>2021/11/1,</t>
  </si>
  <si>
    <t>217,</t>
  </si>
  <si>
    <t>2021年11月2日   265 5133</t>
  </si>
  <si>
    <t>2021/11/2,</t>
  </si>
  <si>
    <t>218,</t>
  </si>
  <si>
    <t>2021年11月3日   188 7902</t>
  </si>
  <si>
    <t>2021/11/3,</t>
  </si>
  <si>
    <t>219,</t>
  </si>
  <si>
    <t>2021年11月4日   063 9021</t>
  </si>
  <si>
    <t>2021/11/4,</t>
  </si>
  <si>
    <t>220,</t>
  </si>
  <si>
    <t>2021年11月5日   169 3713</t>
  </si>
  <si>
    <t>2021/11/5,</t>
  </si>
  <si>
    <t>221,</t>
  </si>
  <si>
    <t>2021年11月8日   576 1089</t>
  </si>
  <si>
    <t>2021/11/8,</t>
  </si>
  <si>
    <t>222,</t>
  </si>
  <si>
    <t>2021年11月9日   024 2121</t>
  </si>
  <si>
    <t>2021/11/9,</t>
  </si>
  <si>
    <t>223,</t>
  </si>
  <si>
    <r>
      <rPr>
        <sz val="11"/>
        <color rgb="FF569CD6"/>
        <rFont val="Consolas"/>
      </rPr>
      <t>2021年11月10日  </t>
    </r>
    <r>
      <rPr>
        <sz val="11"/>
        <color rgb="FFDCDCAA"/>
        <rFont val="Consolas"/>
      </rPr>
      <t xml:space="preserve">905 </t>
    </r>
    <r>
      <rPr>
        <sz val="11"/>
        <color rgb="FF6A9955"/>
        <rFont val="Consolas"/>
      </rPr>
      <t>9319</t>
    </r>
  </si>
  <si>
    <t>2021/11/10,</t>
  </si>
  <si>
    <t>224,</t>
  </si>
  <si>
    <r>
      <rPr>
        <sz val="11"/>
        <color rgb="FF569CD6"/>
        <rFont val="Consolas"/>
      </rPr>
      <t>2021年11月11日  </t>
    </r>
    <r>
      <rPr>
        <sz val="11"/>
        <color rgb="FFDCDCAA"/>
        <rFont val="Consolas"/>
      </rPr>
      <t xml:space="preserve">748 </t>
    </r>
    <r>
      <rPr>
        <sz val="11"/>
        <color rgb="FF6A9955"/>
        <rFont val="Consolas"/>
      </rPr>
      <t>4569</t>
    </r>
  </si>
  <si>
    <t>2021/11/11,</t>
  </si>
  <si>
    <t>225,</t>
  </si>
  <si>
    <r>
      <rPr>
        <sz val="11"/>
        <color rgb="FF569CD6"/>
        <rFont val="Consolas"/>
      </rPr>
      <t>2021年11月12日  </t>
    </r>
    <r>
      <rPr>
        <sz val="11"/>
        <color rgb="FFDCDCAA"/>
        <rFont val="Consolas"/>
      </rPr>
      <t xml:space="preserve">635 </t>
    </r>
    <r>
      <rPr>
        <sz val="11"/>
        <color rgb="FF6A9955"/>
        <rFont val="Consolas"/>
      </rPr>
      <t>1149</t>
    </r>
  </si>
  <si>
    <t>2021/11/12,</t>
  </si>
  <si>
    <t>226,</t>
  </si>
  <si>
    <r>
      <rPr>
        <sz val="11"/>
        <color rgb="FF569CD6"/>
        <rFont val="Consolas"/>
      </rPr>
      <t>2021年11月15日  </t>
    </r>
    <r>
      <rPr>
        <sz val="11"/>
        <color rgb="FFDCDCAA"/>
        <rFont val="Consolas"/>
      </rPr>
      <t xml:space="preserve">245 </t>
    </r>
    <r>
      <rPr>
        <sz val="11"/>
        <color rgb="FF6A9955"/>
        <rFont val="Consolas"/>
      </rPr>
      <t>8425</t>
    </r>
  </si>
  <si>
    <t>2021/11/15,</t>
  </si>
  <si>
    <t>227,</t>
  </si>
  <si>
    <r>
      <rPr>
        <sz val="11"/>
        <color rgb="FF569CD6"/>
        <rFont val="Consolas"/>
      </rPr>
      <t>2021年11月16日  </t>
    </r>
    <r>
      <rPr>
        <sz val="11"/>
        <color rgb="FFDCDCAA"/>
        <rFont val="Consolas"/>
      </rPr>
      <t xml:space="preserve">313 </t>
    </r>
    <r>
      <rPr>
        <sz val="11"/>
        <color rgb="FF6A9955"/>
        <rFont val="Consolas"/>
      </rPr>
      <t>3833</t>
    </r>
  </si>
  <si>
    <t>2021/11/16,</t>
  </si>
  <si>
    <t>228,</t>
  </si>
  <si>
    <r>
      <rPr>
        <sz val="11"/>
        <color rgb="FF569CD6"/>
        <rFont val="Consolas"/>
      </rPr>
      <t>2021年11月17日  </t>
    </r>
    <r>
      <rPr>
        <sz val="11"/>
        <color rgb="FFDCDCAA"/>
        <rFont val="Consolas"/>
      </rPr>
      <t xml:space="preserve">967 </t>
    </r>
    <r>
      <rPr>
        <sz val="11"/>
        <color rgb="FF6A9955"/>
        <rFont val="Consolas"/>
      </rPr>
      <t>8231</t>
    </r>
  </si>
  <si>
    <t>2021/11/17,</t>
  </si>
  <si>
    <t>229,</t>
  </si>
  <si>
    <r>
      <rPr>
        <sz val="11"/>
        <color rgb="FF569CD6"/>
        <rFont val="Consolas"/>
      </rPr>
      <t>2021年11月18日  </t>
    </r>
    <r>
      <rPr>
        <sz val="11"/>
        <color rgb="FFDCDCAA"/>
        <rFont val="Consolas"/>
      </rPr>
      <t xml:space="preserve">802 </t>
    </r>
    <r>
      <rPr>
        <sz val="11"/>
        <color rgb="FF6A9955"/>
        <rFont val="Consolas"/>
      </rPr>
      <t>8481</t>
    </r>
  </si>
  <si>
    <t>2021/11/18,</t>
  </si>
  <si>
    <t>230,</t>
  </si>
  <si>
    <r>
      <rPr>
        <sz val="11"/>
        <color rgb="FF569CD6"/>
        <rFont val="Consolas"/>
      </rPr>
      <t>2021年11月19日  </t>
    </r>
    <r>
      <rPr>
        <sz val="11"/>
        <color rgb="FFDCDCAA"/>
        <rFont val="Consolas"/>
      </rPr>
      <t xml:space="preserve">571 </t>
    </r>
    <r>
      <rPr>
        <sz val="11"/>
        <color rgb="FF6A9955"/>
        <rFont val="Consolas"/>
      </rPr>
      <t>4880</t>
    </r>
  </si>
  <si>
    <t>2021/11/19,</t>
  </si>
  <si>
    <t>231,</t>
  </si>
  <si>
    <r>
      <rPr>
        <sz val="11"/>
        <color rgb="FF569CD6"/>
        <rFont val="Consolas"/>
      </rPr>
      <t>2021年11月22日  </t>
    </r>
    <r>
      <rPr>
        <sz val="11"/>
        <color rgb="FFDCDCAA"/>
        <rFont val="Consolas"/>
      </rPr>
      <t xml:space="preserve">363 </t>
    </r>
    <r>
      <rPr>
        <sz val="11"/>
        <color rgb="FF6A9955"/>
        <rFont val="Consolas"/>
      </rPr>
      <t>1205</t>
    </r>
  </si>
  <si>
    <t>2021/11/22,</t>
  </si>
  <si>
    <t>232,</t>
  </si>
  <si>
    <r>
      <rPr>
        <sz val="11"/>
        <color rgb="FF569CD6"/>
        <rFont val="Consolas"/>
      </rPr>
      <t>2021年11月23日  </t>
    </r>
    <r>
      <rPr>
        <sz val="11"/>
        <color rgb="FFDCDCAA"/>
        <rFont val="Consolas"/>
      </rPr>
      <t xml:space="preserve">549 </t>
    </r>
    <r>
      <rPr>
        <sz val="11"/>
        <color rgb="FF6A9955"/>
        <rFont val="Consolas"/>
      </rPr>
      <t>8842</t>
    </r>
  </si>
  <si>
    <t>2021/11/23,</t>
  </si>
  <si>
    <t>233,</t>
  </si>
  <si>
    <r>
      <rPr>
        <sz val="11"/>
        <color rgb="FF569CD6"/>
        <rFont val="Consolas"/>
      </rPr>
      <t>2021年11月24日  </t>
    </r>
    <r>
      <rPr>
        <sz val="11"/>
        <color rgb="FFDCDCAA"/>
        <rFont val="Consolas"/>
      </rPr>
      <t xml:space="preserve">448 </t>
    </r>
    <r>
      <rPr>
        <sz val="11"/>
        <color rgb="FF6A9955"/>
        <rFont val="Consolas"/>
      </rPr>
      <t>5427</t>
    </r>
  </si>
  <si>
    <t>2021/11/24,</t>
  </si>
  <si>
    <t>234,</t>
  </si>
  <si>
    <r>
      <rPr>
        <sz val="11"/>
        <color rgb="FF569CD6"/>
        <rFont val="Consolas"/>
      </rPr>
      <t>2021年11月25日  </t>
    </r>
    <r>
      <rPr>
        <sz val="11"/>
        <color rgb="FFDCDCAA"/>
        <rFont val="Consolas"/>
      </rPr>
      <t xml:space="preserve">357 </t>
    </r>
    <r>
      <rPr>
        <sz val="11"/>
        <color rgb="FF6A9955"/>
        <rFont val="Consolas"/>
      </rPr>
      <t>4223</t>
    </r>
  </si>
  <si>
    <t>2021/11/25,</t>
  </si>
  <si>
    <t>235,</t>
  </si>
  <si>
    <r>
      <rPr>
        <sz val="11"/>
        <color rgb="FF569CD6"/>
        <rFont val="Consolas"/>
      </rPr>
      <t>2021年11月26日  </t>
    </r>
    <r>
      <rPr>
        <sz val="11"/>
        <color rgb="FFDCDCAA"/>
        <rFont val="Consolas"/>
      </rPr>
      <t xml:space="preserve">931 </t>
    </r>
    <r>
      <rPr>
        <sz val="11"/>
        <color rgb="FF6A9955"/>
        <rFont val="Consolas"/>
      </rPr>
      <t>3044</t>
    </r>
  </si>
  <si>
    <t>2021/11/26,</t>
  </si>
  <si>
    <t>236,</t>
  </si>
  <si>
    <r>
      <rPr>
        <sz val="11"/>
        <color rgb="FF569CD6"/>
        <rFont val="Consolas"/>
      </rPr>
      <t>2021年11月29日  </t>
    </r>
    <r>
      <rPr>
        <sz val="11"/>
        <color rgb="FFDCDCAA"/>
        <rFont val="Consolas"/>
      </rPr>
      <t xml:space="preserve">935 </t>
    </r>
    <r>
      <rPr>
        <sz val="11"/>
        <color rgb="FF6A9955"/>
        <rFont val="Consolas"/>
      </rPr>
      <t>8624</t>
    </r>
  </si>
  <si>
    <t>2021/11/29,</t>
  </si>
  <si>
    <t>237,</t>
  </si>
  <si>
    <r>
      <rPr>
        <sz val="11"/>
        <color rgb="FF569CD6"/>
        <rFont val="Consolas"/>
      </rPr>
      <t>2021年11月30日  </t>
    </r>
    <r>
      <rPr>
        <sz val="11"/>
        <color rgb="FFDCDCAA"/>
        <rFont val="Consolas"/>
      </rPr>
      <t xml:space="preserve">840 </t>
    </r>
    <r>
      <rPr>
        <sz val="11"/>
        <color rgb="FF6A9955"/>
        <rFont val="Consolas"/>
      </rPr>
      <t>4594</t>
    </r>
  </si>
  <si>
    <t>2021/11/30,</t>
  </si>
  <si>
    <t>238,</t>
  </si>
  <si>
    <r>
      <rPr>
        <sz val="11"/>
        <color rgb="FF569CD6"/>
        <rFont val="Consolas"/>
      </rPr>
      <t xml:space="preserve">2021年12月1日   </t>
    </r>
    <r>
      <rPr>
        <sz val="11"/>
        <color rgb="FFDCDCAA"/>
        <rFont val="Consolas"/>
      </rPr>
      <t xml:space="preserve">126 </t>
    </r>
    <r>
      <rPr>
        <sz val="11"/>
        <color rgb="FF6A9955"/>
        <rFont val="Consolas"/>
      </rPr>
      <t>4643</t>
    </r>
  </si>
  <si>
    <t>2021/12/1,</t>
  </si>
  <si>
    <t>239,</t>
  </si>
  <si>
    <r>
      <rPr>
        <sz val="11"/>
        <color rgb="FF569CD6"/>
        <rFont val="Consolas"/>
      </rPr>
      <t xml:space="preserve">2021年12月2日   </t>
    </r>
    <r>
      <rPr>
        <sz val="11"/>
        <color rgb="FFDCDCAA"/>
        <rFont val="Consolas"/>
      </rPr>
      <t xml:space="preserve">398 </t>
    </r>
    <r>
      <rPr>
        <sz val="11"/>
        <color rgb="FF6A9955"/>
        <rFont val="Consolas"/>
      </rPr>
      <t>7269</t>
    </r>
  </si>
  <si>
    <t>2021/12/2,</t>
  </si>
  <si>
    <t>240,</t>
  </si>
  <si>
    <r>
      <rPr>
        <sz val="11"/>
        <color rgb="FF569CD6"/>
        <rFont val="Consolas"/>
      </rPr>
      <t xml:space="preserve">2021年12月3日   </t>
    </r>
    <r>
      <rPr>
        <sz val="11"/>
        <color rgb="FFDCDCAA"/>
        <rFont val="Consolas"/>
      </rPr>
      <t xml:space="preserve">856 </t>
    </r>
    <r>
      <rPr>
        <sz val="11"/>
        <color rgb="FF6A9955"/>
        <rFont val="Consolas"/>
      </rPr>
      <t>1888</t>
    </r>
  </si>
  <si>
    <t>2021/12/3,</t>
  </si>
  <si>
    <t>241,</t>
  </si>
  <si>
    <r>
      <rPr>
        <sz val="11"/>
        <color rgb="FF569CD6"/>
        <rFont val="Consolas"/>
      </rPr>
      <t xml:space="preserve">2021年12月6日   </t>
    </r>
    <r>
      <rPr>
        <sz val="11"/>
        <color rgb="FFDCDCAA"/>
        <rFont val="Consolas"/>
      </rPr>
      <t xml:space="preserve">075 </t>
    </r>
    <r>
      <rPr>
        <sz val="11"/>
        <color rgb="FF6A9955"/>
        <rFont val="Consolas"/>
      </rPr>
      <t>6770</t>
    </r>
  </si>
  <si>
    <t>2021/12/6,</t>
  </si>
  <si>
    <t>242,</t>
  </si>
  <si>
    <r>
      <rPr>
        <sz val="11"/>
        <color rgb="FF569CD6"/>
        <rFont val="Consolas"/>
      </rPr>
      <t xml:space="preserve">2021年12月7日   </t>
    </r>
    <r>
      <rPr>
        <sz val="11"/>
        <color rgb="FFDCDCAA"/>
        <rFont val="Consolas"/>
      </rPr>
      <t xml:space="preserve">871 </t>
    </r>
    <r>
      <rPr>
        <sz val="11"/>
        <color rgb="FF6A9955"/>
        <rFont val="Consolas"/>
      </rPr>
      <t>8951</t>
    </r>
  </si>
  <si>
    <t>2021/12/7,</t>
  </si>
  <si>
    <t>243,</t>
  </si>
  <si>
    <r>
      <rPr>
        <sz val="11"/>
        <color rgb="FF569CD6"/>
        <rFont val="Consolas"/>
      </rPr>
      <t xml:space="preserve">2021年12月8日   </t>
    </r>
    <r>
      <rPr>
        <sz val="11"/>
        <color rgb="FFDCDCAA"/>
        <rFont val="Consolas"/>
      </rPr>
      <t xml:space="preserve">570 </t>
    </r>
    <r>
      <rPr>
        <sz val="11"/>
        <color rgb="FF6A9955"/>
        <rFont val="Consolas"/>
      </rPr>
      <t>8438</t>
    </r>
  </si>
  <si>
    <t>2021/12/8,</t>
  </si>
  <si>
    <t>244,</t>
  </si>
  <si>
    <r>
      <rPr>
        <sz val="11"/>
        <color rgb="FF569CD6"/>
        <rFont val="Consolas"/>
      </rPr>
      <t xml:space="preserve">2021年12月9日   </t>
    </r>
    <r>
      <rPr>
        <sz val="11"/>
        <color rgb="FFDCDCAA"/>
        <rFont val="Consolas"/>
      </rPr>
      <t xml:space="preserve">398 </t>
    </r>
    <r>
      <rPr>
        <sz val="11"/>
        <color rgb="FF6A9955"/>
        <rFont val="Consolas"/>
      </rPr>
      <t>5741</t>
    </r>
  </si>
  <si>
    <t>2021/12/9,</t>
  </si>
  <si>
    <t>245,</t>
  </si>
  <si>
    <r>
      <rPr>
        <sz val="11"/>
        <color rgb="FF569CD6"/>
        <rFont val="Consolas"/>
      </rPr>
      <t>2021年12月10日  </t>
    </r>
    <r>
      <rPr>
        <sz val="11"/>
        <color rgb="FFDCDCAA"/>
        <rFont val="Consolas"/>
      </rPr>
      <t xml:space="preserve">540 </t>
    </r>
    <r>
      <rPr>
        <sz val="11"/>
        <color rgb="FF6A9955"/>
        <rFont val="Consolas"/>
      </rPr>
      <t>9636</t>
    </r>
  </si>
  <si>
    <t>2021/12/10,</t>
  </si>
  <si>
    <t>246,</t>
  </si>
  <si>
    <r>
      <rPr>
        <sz val="11"/>
        <color rgb="FF569CD6"/>
        <rFont val="Consolas"/>
      </rPr>
      <t>2021年12月13日  </t>
    </r>
    <r>
      <rPr>
        <sz val="11"/>
        <color rgb="FFDCDCAA"/>
        <rFont val="Consolas"/>
      </rPr>
      <t xml:space="preserve">418 </t>
    </r>
    <r>
      <rPr>
        <sz val="11"/>
        <color rgb="FF6A9955"/>
        <rFont val="Consolas"/>
      </rPr>
      <t>2381</t>
    </r>
  </si>
  <si>
    <t>2021/12/13,</t>
  </si>
  <si>
    <t>247,</t>
  </si>
  <si>
    <r>
      <rPr>
        <sz val="11"/>
        <color rgb="FF569CD6"/>
        <rFont val="Consolas"/>
      </rPr>
      <t>2021年12月14日  </t>
    </r>
    <r>
      <rPr>
        <sz val="11"/>
        <color rgb="FFDCDCAA"/>
        <rFont val="Consolas"/>
      </rPr>
      <t xml:space="preserve">702 </t>
    </r>
    <r>
      <rPr>
        <sz val="11"/>
        <color rgb="FF6A9955"/>
        <rFont val="Consolas"/>
      </rPr>
      <t>1250</t>
    </r>
  </si>
  <si>
    <t>2021/12/14,</t>
  </si>
  <si>
    <t>248,</t>
  </si>
  <si>
    <r>
      <rPr>
        <sz val="11"/>
        <color rgb="FF569CD6"/>
        <rFont val="Consolas"/>
      </rPr>
      <t>2021年12月15日  </t>
    </r>
    <r>
      <rPr>
        <sz val="11"/>
        <color rgb="FFDCDCAA"/>
        <rFont val="Consolas"/>
      </rPr>
      <t xml:space="preserve">728 </t>
    </r>
    <r>
      <rPr>
        <sz val="11"/>
        <color rgb="FF6A9955"/>
        <rFont val="Consolas"/>
      </rPr>
      <t>7246</t>
    </r>
  </si>
  <si>
    <t>2021/12/15,</t>
  </si>
  <si>
    <t>249,</t>
  </si>
  <si>
    <r>
      <rPr>
        <sz val="11"/>
        <color rgb="FF569CD6"/>
        <rFont val="Consolas"/>
      </rPr>
      <t>2021年12月16日  </t>
    </r>
    <r>
      <rPr>
        <sz val="11"/>
        <color rgb="FFDCDCAA"/>
        <rFont val="Consolas"/>
      </rPr>
      <t xml:space="preserve">074 </t>
    </r>
    <r>
      <rPr>
        <sz val="11"/>
        <color rgb="FF6A9955"/>
        <rFont val="Consolas"/>
      </rPr>
      <t>6572</t>
    </r>
  </si>
  <si>
    <t>2021/12/16,</t>
  </si>
  <si>
    <t>250,</t>
  </si>
  <si>
    <r>
      <rPr>
        <sz val="11"/>
        <color rgb="FF569CD6"/>
        <rFont val="Consolas"/>
      </rPr>
      <t>2021年12月17日  </t>
    </r>
    <r>
      <rPr>
        <sz val="11"/>
        <color rgb="FFDCDCAA"/>
        <rFont val="Consolas"/>
      </rPr>
      <t xml:space="preserve">050 </t>
    </r>
    <r>
      <rPr>
        <sz val="11"/>
        <color rgb="FF6A9955"/>
        <rFont val="Consolas"/>
      </rPr>
      <t>9613</t>
    </r>
  </si>
  <si>
    <t>2021/12/17,</t>
  </si>
  <si>
    <t>251,</t>
  </si>
  <si>
    <r>
      <rPr>
        <sz val="11"/>
        <color rgb="FF569CD6"/>
        <rFont val="Consolas"/>
      </rPr>
      <t>2021年12月20日  </t>
    </r>
    <r>
      <rPr>
        <sz val="11"/>
        <color rgb="FFDCDCAA"/>
        <rFont val="Consolas"/>
      </rPr>
      <t xml:space="preserve">245 </t>
    </r>
    <r>
      <rPr>
        <sz val="11"/>
        <color rgb="FF6A9955"/>
        <rFont val="Consolas"/>
      </rPr>
      <t>1743</t>
    </r>
  </si>
  <si>
    <t>2021/12/20,</t>
  </si>
  <si>
    <t>252,</t>
  </si>
  <si>
    <r>
      <rPr>
        <sz val="11"/>
        <color rgb="FF569CD6"/>
        <rFont val="Consolas"/>
      </rPr>
      <t>2021年12月21日  </t>
    </r>
    <r>
      <rPr>
        <sz val="11"/>
        <color rgb="FFDCDCAA"/>
        <rFont val="Consolas"/>
      </rPr>
      <t xml:space="preserve">858 </t>
    </r>
    <r>
      <rPr>
        <sz val="11"/>
        <color rgb="FF6A9955"/>
        <rFont val="Consolas"/>
      </rPr>
      <t>3582</t>
    </r>
  </si>
  <si>
    <t>2021/12/21,</t>
  </si>
  <si>
    <t>253,</t>
  </si>
  <si>
    <r>
      <rPr>
        <sz val="11"/>
        <color rgb="FF569CD6"/>
        <rFont val="Consolas"/>
      </rPr>
      <t>2021年12月22日  </t>
    </r>
    <r>
      <rPr>
        <sz val="11"/>
        <color rgb="FFDCDCAA"/>
        <rFont val="Consolas"/>
      </rPr>
      <t xml:space="preserve">365 </t>
    </r>
    <r>
      <rPr>
        <sz val="11"/>
        <color rgb="FF6A9955"/>
        <rFont val="Consolas"/>
      </rPr>
      <t>7399</t>
    </r>
  </si>
  <si>
    <t>2021/12/22,</t>
  </si>
  <si>
    <t>254,</t>
  </si>
  <si>
    <r>
      <rPr>
        <sz val="11"/>
        <color rgb="FF569CD6"/>
        <rFont val="Consolas"/>
      </rPr>
      <t>2021年12月23日  </t>
    </r>
    <r>
      <rPr>
        <sz val="11"/>
        <color rgb="FFDCDCAA"/>
        <rFont val="Consolas"/>
      </rPr>
      <t xml:space="preserve">486 </t>
    </r>
    <r>
      <rPr>
        <sz val="11"/>
        <color rgb="FF6A9955"/>
        <rFont val="Consolas"/>
      </rPr>
      <t>8544</t>
    </r>
  </si>
  <si>
    <t>2021/12/23,</t>
  </si>
  <si>
    <t>255,</t>
  </si>
  <si>
    <r>
      <rPr>
        <sz val="11"/>
        <color rgb="FF569CD6"/>
        <rFont val="Consolas"/>
      </rPr>
      <t>2021年12月24日  </t>
    </r>
    <r>
      <rPr>
        <sz val="11"/>
        <color rgb="FFDCDCAA"/>
        <rFont val="Consolas"/>
      </rPr>
      <t xml:space="preserve">069 </t>
    </r>
    <r>
      <rPr>
        <sz val="11"/>
        <color rgb="FF6A9955"/>
        <rFont val="Consolas"/>
      </rPr>
      <t>0807</t>
    </r>
  </si>
  <si>
    <t>2021/12/24,</t>
  </si>
  <si>
    <t>256,</t>
  </si>
  <si>
    <r>
      <rPr>
        <sz val="11"/>
        <color rgb="FF569CD6"/>
        <rFont val="Consolas"/>
      </rPr>
      <t>2021年12月27日  </t>
    </r>
    <r>
      <rPr>
        <sz val="11"/>
        <color rgb="FFDCDCAA"/>
        <rFont val="Consolas"/>
      </rPr>
      <t xml:space="preserve">692 </t>
    </r>
    <r>
      <rPr>
        <sz val="11"/>
        <color rgb="FF6A9955"/>
        <rFont val="Consolas"/>
      </rPr>
      <t>9715</t>
    </r>
  </si>
  <si>
    <t>2021/12/27,</t>
  </si>
  <si>
    <t>257,</t>
  </si>
  <si>
    <r>
      <rPr>
        <sz val="11"/>
        <color rgb="FF569CD6"/>
        <rFont val="Consolas"/>
      </rPr>
      <t>2021年12月28日  </t>
    </r>
    <r>
      <rPr>
        <sz val="11"/>
        <color rgb="FFDCDCAA"/>
        <rFont val="Consolas"/>
      </rPr>
      <t xml:space="preserve">553 </t>
    </r>
    <r>
      <rPr>
        <sz val="11"/>
        <color rgb="FF6A9955"/>
        <rFont val="Consolas"/>
      </rPr>
      <t>4205</t>
    </r>
  </si>
  <si>
    <t>2021/12/28,</t>
  </si>
  <si>
    <t>258,</t>
  </si>
  <si>
    <r>
      <rPr>
        <sz val="11"/>
        <color rgb="FF569CD6"/>
        <rFont val="Consolas"/>
      </rPr>
      <t>2021年12月29日  </t>
    </r>
    <r>
      <rPr>
        <sz val="11"/>
        <color rgb="FFDCDCAA"/>
        <rFont val="Consolas"/>
      </rPr>
      <t xml:space="preserve">737 </t>
    </r>
    <r>
      <rPr>
        <sz val="11"/>
        <color rgb="FF6A9955"/>
        <rFont val="Consolas"/>
      </rPr>
      <t>4559</t>
    </r>
  </si>
  <si>
    <t>2021/12/29,</t>
  </si>
  <si>
    <t>259,</t>
  </si>
  <si>
    <r>
      <rPr>
        <sz val="11"/>
        <color rgb="FF569CD6"/>
        <rFont val="Consolas"/>
      </rPr>
      <t>2021年12月30日  </t>
    </r>
    <r>
      <rPr>
        <sz val="11"/>
        <color rgb="FFDCDCAA"/>
        <rFont val="Consolas"/>
      </rPr>
      <t xml:space="preserve">131 </t>
    </r>
    <r>
      <rPr>
        <sz val="11"/>
        <color rgb="FF6A9955"/>
        <rFont val="Consolas"/>
      </rPr>
      <t>4709</t>
    </r>
  </si>
  <si>
    <t>2021/12/30,</t>
  </si>
  <si>
    <t>260,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</si>
</sst>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Consolas"/>
      <charset val="1"/>
    </font>
    <font>
      <sz val="11"/>
      <color rgb="FF000000"/>
      <name val="Calibri"/>
      <family val="2"/>
      <scheme val="minor"/>
    </font>
    <font>
      <sz val="11"/>
      <color rgb="FF569CD6"/>
      <name val="Consolas"/>
    </font>
    <font>
      <sz val="11"/>
      <color rgb="FFDCDCAA"/>
      <name val="Consolas"/>
    </font>
    <font>
      <sz val="11"/>
      <color rgb="FF6A9955"/>
      <name val="Consolas"/>
    </font>
    <font>
      <sz val="11"/>
      <color rgb="FFCCCCCC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6" fillId="0" borderId="0" xfId="0" applyFont="1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3"/>
  <sheetViews>
    <sheetView tabSelected="1" topLeftCell="A93" workbookViewId="0">
      <selection activeCell="N97" sqref="N97"/>
    </sheetView>
  </sheetViews>
  <sheetFormatPr defaultRowHeight="18" customHeight="1"/>
  <cols>
    <col min="1" max="1" width="13.140625" style="3" customWidth="1"/>
    <col min="2" max="2" width="33.28515625" customWidth="1"/>
    <col min="3" max="3" width="21.85546875" customWidth="1"/>
    <col min="4" max="4" width="17.42578125" customWidth="1"/>
    <col min="5" max="5" width="16.28515625" customWidth="1"/>
    <col min="6" max="6" width="13" customWidth="1"/>
    <col min="7" max="7" width="40.5703125" customWidth="1"/>
    <col min="8" max="8" width="14.140625" bestFit="1" customWidth="1"/>
    <col min="9" max="9" width="13.140625" customWidth="1"/>
    <col min="10" max="10" width="14.140625" customWidth="1"/>
    <col min="11" max="11" width="13.42578125" customWidth="1"/>
    <col min="12" max="12" width="13.28515625" customWidth="1"/>
    <col min="13" max="13" width="36.5703125" bestFit="1" customWidth="1"/>
  </cols>
  <sheetData>
    <row r="1" spans="1:13" ht="18" customHeight="1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6</v>
      </c>
      <c r="I1" t="s">
        <v>6</v>
      </c>
      <c r="J1" t="s">
        <v>6</v>
      </c>
      <c r="K1" t="s">
        <v>6</v>
      </c>
      <c r="L1" t="s">
        <v>6</v>
      </c>
      <c r="M1" t="s">
        <v>7</v>
      </c>
    </row>
    <row r="2" spans="1:13" ht="18" customHeight="1">
      <c r="A2" s="1" t="s">
        <v>8</v>
      </c>
      <c r="B2" s="1" t="s">
        <v>9</v>
      </c>
      <c r="C2" s="1" t="str">
        <f>LEFT(B2,11)</f>
        <v>2021年1月4日  </v>
      </c>
      <c r="D2" s="5" t="s">
        <v>10</v>
      </c>
      <c r="E2" s="6" t="str">
        <f>SUBSTITUTE(SUBSTITUTE(D2,"  ",""),"      ","")</f>
        <v>2021/1/4,</v>
      </c>
      <c r="F2" s="6" t="str">
        <f>E2</f>
        <v>2021/1/4,</v>
      </c>
      <c r="G2" s="1" t="s">
        <v>9</v>
      </c>
      <c r="H2" t="str">
        <f>RIGHT(B2,4)</f>
        <v>3299</v>
      </c>
      <c r="I2" t="str">
        <f>LEFT(H2,1)</f>
        <v>3</v>
      </c>
      <c r="J2" t="str">
        <f>MID(H2,2,1)</f>
        <v>2</v>
      </c>
      <c r="K2" t="str">
        <f>MID(H2,3,1)</f>
        <v>9</v>
      </c>
      <c r="L2" t="str">
        <f>RIGHT(H2,1)</f>
        <v>9</v>
      </c>
      <c r="M2" s="7" t="str">
        <f>A2&amp;F2&amp;H2&amp;","&amp;I2&amp;","&amp;J2&amp;","&amp;K2&amp;","&amp;L2</f>
        <v>1,2021/1/4,3299,3,2,9,9</v>
      </c>
    </row>
    <row r="3" spans="1:13" ht="18" customHeight="1">
      <c r="A3" s="1" t="s">
        <v>11</v>
      </c>
      <c r="B3" s="1" t="s">
        <v>12</v>
      </c>
      <c r="C3" s="1" t="str">
        <f t="shared" ref="C3:C66" si="0">LEFT(B3,11)</f>
        <v>2021年1月5日  </v>
      </c>
      <c r="D3" s="1" t="s">
        <v>13</v>
      </c>
      <c r="E3" s="6" t="str">
        <f t="shared" ref="E3:E66" si="1">SUBSTITUTE(SUBSTITUTE(D3,"  ",""),"      ","")</f>
        <v>2021/1/5,</v>
      </c>
      <c r="F3" s="6" t="str">
        <f t="shared" ref="F3:F66" si="2">E3</f>
        <v>2021/1/5,</v>
      </c>
      <c r="G3" s="1" t="s">
        <v>12</v>
      </c>
      <c r="H3" t="str">
        <f t="shared" ref="H3:H66" si="3">RIGHT(B3,4)</f>
        <v>1530</v>
      </c>
      <c r="I3" t="str">
        <f t="shared" ref="I3:I66" si="4">LEFT(H3,1)</f>
        <v>1</v>
      </c>
      <c r="J3" t="str">
        <f t="shared" ref="J3:J66" si="5">MID(H3,2,1)</f>
        <v>5</v>
      </c>
      <c r="K3" t="str">
        <f t="shared" ref="K3:K66" si="6">MID(H3,3,1)</f>
        <v>3</v>
      </c>
      <c r="L3" t="str">
        <f t="shared" ref="L3:L66" si="7">RIGHT(H3,1)</f>
        <v>0</v>
      </c>
      <c r="M3" s="7" t="str">
        <f t="shared" ref="M3:M66" si="8">A3&amp;F3&amp;H3&amp;","&amp;I3&amp;","&amp;J3&amp;","&amp;K3&amp;","&amp;L3</f>
        <v>2,2021/1/5,1530,1,5,3,0</v>
      </c>
    </row>
    <row r="4" spans="1:13" ht="18" customHeight="1">
      <c r="A4" s="1" t="s">
        <v>14</v>
      </c>
      <c r="B4" s="1" t="s">
        <v>15</v>
      </c>
      <c r="C4" s="1" t="str">
        <f t="shared" si="0"/>
        <v>2021年1月6日  </v>
      </c>
      <c r="D4" s="1" t="s">
        <v>16</v>
      </c>
      <c r="E4" s="6" t="str">
        <f t="shared" si="1"/>
        <v>2021/1/6,</v>
      </c>
      <c r="F4" s="6" t="str">
        <f t="shared" si="2"/>
        <v>2021/1/6,</v>
      </c>
      <c r="G4" s="1" t="s">
        <v>15</v>
      </c>
      <c r="H4" t="str">
        <f t="shared" si="3"/>
        <v>7155</v>
      </c>
      <c r="I4" t="str">
        <f t="shared" si="4"/>
        <v>7</v>
      </c>
      <c r="J4" t="str">
        <f t="shared" si="5"/>
        <v>1</v>
      </c>
      <c r="K4" t="str">
        <f t="shared" si="6"/>
        <v>5</v>
      </c>
      <c r="L4" t="str">
        <f t="shared" si="7"/>
        <v>5</v>
      </c>
      <c r="M4" s="7" t="str">
        <f t="shared" si="8"/>
        <v>3,2021/1/6,7155,7,1,5,5</v>
      </c>
    </row>
    <row r="5" spans="1:13" ht="18" customHeight="1">
      <c r="A5" s="1" t="s">
        <v>17</v>
      </c>
      <c r="B5" s="1" t="s">
        <v>18</v>
      </c>
      <c r="C5" s="1" t="str">
        <f t="shared" si="0"/>
        <v>2021年1月7日  </v>
      </c>
      <c r="D5" s="1" t="s">
        <v>19</v>
      </c>
      <c r="E5" s="6" t="str">
        <f t="shared" si="1"/>
        <v>2021/1/7, </v>
      </c>
      <c r="F5" s="6" t="str">
        <f t="shared" si="2"/>
        <v>2021/1/7, </v>
      </c>
      <c r="G5" s="1" t="s">
        <v>18</v>
      </c>
      <c r="H5" t="str">
        <f t="shared" si="3"/>
        <v>1974</v>
      </c>
      <c r="I5" t="str">
        <f t="shared" si="4"/>
        <v>1</v>
      </c>
      <c r="J5" t="str">
        <f t="shared" si="5"/>
        <v>9</v>
      </c>
      <c r="K5" t="str">
        <f t="shared" si="6"/>
        <v>7</v>
      </c>
      <c r="L5" t="str">
        <f t="shared" si="7"/>
        <v>4</v>
      </c>
      <c r="M5" s="7" t="str">
        <f t="shared" si="8"/>
        <v>4,2021/1/7, 1974,1,9,7,4</v>
      </c>
    </row>
    <row r="6" spans="1:13" ht="18" customHeight="1">
      <c r="A6" s="1" t="s">
        <v>20</v>
      </c>
      <c r="B6" s="1" t="s">
        <v>21</v>
      </c>
      <c r="C6" s="1" t="str">
        <f t="shared" si="0"/>
        <v>2021年1月8日  </v>
      </c>
      <c r="D6" s="1" t="s">
        <v>22</v>
      </c>
      <c r="E6" s="6" t="str">
        <f t="shared" si="1"/>
        <v>2021/1/8, </v>
      </c>
      <c r="F6" s="6" t="str">
        <f t="shared" si="2"/>
        <v>2021/1/8, </v>
      </c>
      <c r="G6" s="1" t="s">
        <v>21</v>
      </c>
      <c r="H6" t="str">
        <f t="shared" si="3"/>
        <v>5852</v>
      </c>
      <c r="I6" t="str">
        <f t="shared" si="4"/>
        <v>5</v>
      </c>
      <c r="J6" t="str">
        <f t="shared" si="5"/>
        <v>8</v>
      </c>
      <c r="K6" t="str">
        <f t="shared" si="6"/>
        <v>5</v>
      </c>
      <c r="L6" t="str">
        <f t="shared" si="7"/>
        <v>2</v>
      </c>
      <c r="M6" s="7" t="str">
        <f t="shared" si="8"/>
        <v>5,2021/1/8, 5852,5,8,5,2</v>
      </c>
    </row>
    <row r="7" spans="1:13" ht="18" customHeight="1">
      <c r="A7" s="1" t="s">
        <v>23</v>
      </c>
      <c r="B7" s="1" t="s">
        <v>24</v>
      </c>
      <c r="C7" s="1" t="str">
        <f t="shared" si="0"/>
        <v xml:space="preserve">2021年1月11日 </v>
      </c>
      <c r="D7" s="1" t="s">
        <v>25</v>
      </c>
      <c r="E7" s="6" t="str">
        <f t="shared" si="1"/>
        <v>2021/1/11,</v>
      </c>
      <c r="F7" s="6" t="str">
        <f t="shared" si="2"/>
        <v>2021/1/11,</v>
      </c>
      <c r="G7" s="1" t="s">
        <v>24</v>
      </c>
      <c r="H7" t="str">
        <f t="shared" si="3"/>
        <v>6497</v>
      </c>
      <c r="I7" t="str">
        <f t="shared" si="4"/>
        <v>6</v>
      </c>
      <c r="J7" t="str">
        <f t="shared" si="5"/>
        <v>4</v>
      </c>
      <c r="K7" t="str">
        <f t="shared" si="6"/>
        <v>9</v>
      </c>
      <c r="L7" t="str">
        <f t="shared" si="7"/>
        <v>7</v>
      </c>
      <c r="M7" s="7" t="str">
        <f t="shared" si="8"/>
        <v>6,2021/1/11,6497,6,4,9,7</v>
      </c>
    </row>
    <row r="8" spans="1:13" ht="18" customHeight="1">
      <c r="A8" s="1" t="s">
        <v>26</v>
      </c>
      <c r="B8" s="1" t="s">
        <v>27</v>
      </c>
      <c r="C8" s="1" t="str">
        <f t="shared" si="0"/>
        <v xml:space="preserve">2021年1月12日 </v>
      </c>
      <c r="D8" s="1" t="s">
        <v>28</v>
      </c>
      <c r="E8" s="6" t="str">
        <f t="shared" si="1"/>
        <v>2021/1/12,</v>
      </c>
      <c r="F8" s="6" t="str">
        <f t="shared" si="2"/>
        <v>2021/1/12,</v>
      </c>
      <c r="G8" s="1" t="s">
        <v>27</v>
      </c>
      <c r="H8" t="str">
        <f t="shared" si="3"/>
        <v>8695</v>
      </c>
      <c r="I8" t="str">
        <f t="shared" si="4"/>
        <v>8</v>
      </c>
      <c r="J8" t="str">
        <f t="shared" si="5"/>
        <v>6</v>
      </c>
      <c r="K8" t="str">
        <f t="shared" si="6"/>
        <v>9</v>
      </c>
      <c r="L8" t="str">
        <f t="shared" si="7"/>
        <v>5</v>
      </c>
      <c r="M8" s="7" t="str">
        <f t="shared" si="8"/>
        <v>7,2021/1/12,8695,8,6,9,5</v>
      </c>
    </row>
    <row r="9" spans="1:13" ht="18" customHeight="1">
      <c r="A9" s="1" t="s">
        <v>29</v>
      </c>
      <c r="B9" s="1" t="s">
        <v>30</v>
      </c>
      <c r="C9" s="1" t="str">
        <f t="shared" si="0"/>
        <v xml:space="preserve">2021年1月13日 </v>
      </c>
      <c r="D9" s="1" t="s">
        <v>31</v>
      </c>
      <c r="E9" s="6" t="str">
        <f t="shared" si="1"/>
        <v>2021/1/13,</v>
      </c>
      <c r="F9" s="6" t="str">
        <f t="shared" si="2"/>
        <v>2021/1/13,</v>
      </c>
      <c r="G9" s="1" t="s">
        <v>30</v>
      </c>
      <c r="H9" t="str">
        <f t="shared" si="3"/>
        <v>1985</v>
      </c>
      <c r="I9" t="str">
        <f t="shared" si="4"/>
        <v>1</v>
      </c>
      <c r="J9" t="str">
        <f t="shared" si="5"/>
        <v>9</v>
      </c>
      <c r="K9" t="str">
        <f t="shared" si="6"/>
        <v>8</v>
      </c>
      <c r="L9" t="str">
        <f t="shared" si="7"/>
        <v>5</v>
      </c>
      <c r="M9" s="7" t="str">
        <f t="shared" si="8"/>
        <v>8,2021/1/13,1985,1,9,8,5</v>
      </c>
    </row>
    <row r="10" spans="1:13" ht="18" customHeight="1">
      <c r="A10" s="1" t="s">
        <v>32</v>
      </c>
      <c r="B10" s="1" t="s">
        <v>33</v>
      </c>
      <c r="C10" s="1" t="str">
        <f t="shared" si="0"/>
        <v xml:space="preserve">2021年1月14日 </v>
      </c>
      <c r="D10" s="1" t="s">
        <v>34</v>
      </c>
      <c r="E10" s="6" t="str">
        <f t="shared" si="1"/>
        <v>2021/1/14,</v>
      </c>
      <c r="F10" s="6" t="str">
        <f t="shared" si="2"/>
        <v>2021/1/14,</v>
      </c>
      <c r="G10" s="1" t="s">
        <v>33</v>
      </c>
      <c r="H10" t="str">
        <f t="shared" si="3"/>
        <v>4886</v>
      </c>
      <c r="I10" t="str">
        <f t="shared" si="4"/>
        <v>4</v>
      </c>
      <c r="J10" t="str">
        <f t="shared" si="5"/>
        <v>8</v>
      </c>
      <c r="K10" t="str">
        <f t="shared" si="6"/>
        <v>8</v>
      </c>
      <c r="L10" t="str">
        <f t="shared" si="7"/>
        <v>6</v>
      </c>
      <c r="M10" s="7" t="str">
        <f t="shared" si="8"/>
        <v>9,2021/1/14,4886,4,8,8,6</v>
      </c>
    </row>
    <row r="11" spans="1:13" ht="18" customHeight="1">
      <c r="A11" s="1" t="s">
        <v>35</v>
      </c>
      <c r="B11" s="1" t="s">
        <v>36</v>
      </c>
      <c r="C11" s="1" t="str">
        <f t="shared" si="0"/>
        <v xml:space="preserve">2021年1月15日 </v>
      </c>
      <c r="D11" s="1" t="s">
        <v>37</v>
      </c>
      <c r="E11" s="6" t="str">
        <f t="shared" si="1"/>
        <v>2021/1/15,</v>
      </c>
      <c r="F11" s="6" t="str">
        <f t="shared" si="2"/>
        <v>2021/1/15,</v>
      </c>
      <c r="G11" s="1" t="s">
        <v>36</v>
      </c>
      <c r="H11" t="str">
        <f t="shared" si="3"/>
        <v>0983</v>
      </c>
      <c r="I11" t="str">
        <f t="shared" si="4"/>
        <v>0</v>
      </c>
      <c r="J11" t="str">
        <f t="shared" si="5"/>
        <v>9</v>
      </c>
      <c r="K11" t="str">
        <f t="shared" si="6"/>
        <v>8</v>
      </c>
      <c r="L11" t="str">
        <f t="shared" si="7"/>
        <v>3</v>
      </c>
      <c r="M11" s="7" t="str">
        <f t="shared" si="8"/>
        <v>10,2021/1/15,0983,0,9,8,3</v>
      </c>
    </row>
    <row r="12" spans="1:13" ht="18" customHeight="1">
      <c r="A12" s="1" t="s">
        <v>38</v>
      </c>
      <c r="B12" s="1" t="s">
        <v>39</v>
      </c>
      <c r="C12" s="1" t="str">
        <f t="shared" si="0"/>
        <v xml:space="preserve">2021年1月18日 </v>
      </c>
      <c r="D12" s="1" t="s">
        <v>40</v>
      </c>
      <c r="E12" s="6" t="str">
        <f t="shared" si="1"/>
        <v>2021/1/18,</v>
      </c>
      <c r="F12" s="6" t="str">
        <f t="shared" si="2"/>
        <v>2021/1/18,</v>
      </c>
      <c r="G12" s="1" t="s">
        <v>39</v>
      </c>
      <c r="H12" t="str">
        <f t="shared" si="3"/>
        <v>5172</v>
      </c>
      <c r="I12" t="str">
        <f t="shared" si="4"/>
        <v>5</v>
      </c>
      <c r="J12" t="str">
        <f t="shared" si="5"/>
        <v>1</v>
      </c>
      <c r="K12" t="str">
        <f t="shared" si="6"/>
        <v>7</v>
      </c>
      <c r="L12" t="str">
        <f t="shared" si="7"/>
        <v>2</v>
      </c>
      <c r="M12" s="7" t="str">
        <f t="shared" si="8"/>
        <v>11,2021/1/18,5172,5,1,7,2</v>
      </c>
    </row>
    <row r="13" spans="1:13" ht="18" customHeight="1">
      <c r="A13" s="1" t="s">
        <v>41</v>
      </c>
      <c r="B13" s="1" t="s">
        <v>42</v>
      </c>
      <c r="C13" s="1" t="str">
        <f t="shared" si="0"/>
        <v xml:space="preserve">2021年1月19日 </v>
      </c>
      <c r="D13" s="1" t="s">
        <v>43</v>
      </c>
      <c r="E13" s="6" t="str">
        <f t="shared" si="1"/>
        <v>2021/1/19,</v>
      </c>
      <c r="F13" s="6" t="str">
        <f t="shared" si="2"/>
        <v>2021/1/19,</v>
      </c>
      <c r="G13" s="1" t="s">
        <v>42</v>
      </c>
      <c r="H13" t="str">
        <f t="shared" si="3"/>
        <v>8877</v>
      </c>
      <c r="I13" t="str">
        <f t="shared" si="4"/>
        <v>8</v>
      </c>
      <c r="J13" t="str">
        <f t="shared" si="5"/>
        <v>8</v>
      </c>
      <c r="K13" t="str">
        <f t="shared" si="6"/>
        <v>7</v>
      </c>
      <c r="L13" t="str">
        <f t="shared" si="7"/>
        <v>7</v>
      </c>
      <c r="M13" s="7" t="str">
        <f t="shared" si="8"/>
        <v>12,2021/1/19,8877,8,8,7,7</v>
      </c>
    </row>
    <row r="14" spans="1:13" ht="18" customHeight="1">
      <c r="A14" s="1" t="s">
        <v>44</v>
      </c>
      <c r="B14" s="1" t="s">
        <v>45</v>
      </c>
      <c r="C14" s="1" t="str">
        <f t="shared" si="0"/>
        <v xml:space="preserve">2021年1月20日 </v>
      </c>
      <c r="D14" s="1" t="s">
        <v>46</v>
      </c>
      <c r="E14" s="6" t="str">
        <f t="shared" si="1"/>
        <v>2021/1/20,</v>
      </c>
      <c r="F14" s="6" t="str">
        <f t="shared" si="2"/>
        <v>2021/1/20,</v>
      </c>
      <c r="G14" s="1" t="s">
        <v>45</v>
      </c>
      <c r="H14" t="str">
        <f t="shared" si="3"/>
        <v>3380</v>
      </c>
      <c r="I14" t="str">
        <f t="shared" si="4"/>
        <v>3</v>
      </c>
      <c r="J14" t="str">
        <f t="shared" si="5"/>
        <v>3</v>
      </c>
      <c r="K14" t="str">
        <f t="shared" si="6"/>
        <v>8</v>
      </c>
      <c r="L14" t="str">
        <f t="shared" si="7"/>
        <v>0</v>
      </c>
      <c r="M14" s="7" t="str">
        <f t="shared" si="8"/>
        <v>13,2021/1/20,3380,3,3,8,0</v>
      </c>
    </row>
    <row r="15" spans="1:13" ht="18" customHeight="1">
      <c r="A15" s="1" t="s">
        <v>47</v>
      </c>
      <c r="B15" s="1" t="s">
        <v>48</v>
      </c>
      <c r="C15" s="1" t="str">
        <f t="shared" si="0"/>
        <v xml:space="preserve">2021年1月21日 </v>
      </c>
      <c r="D15" s="1" t="s">
        <v>49</v>
      </c>
      <c r="E15" s="6" t="str">
        <f t="shared" si="1"/>
        <v>2021/1/21,</v>
      </c>
      <c r="F15" s="6" t="str">
        <f t="shared" si="2"/>
        <v>2021/1/21,</v>
      </c>
      <c r="G15" s="1" t="s">
        <v>48</v>
      </c>
      <c r="H15" t="str">
        <f t="shared" si="3"/>
        <v>4738</v>
      </c>
      <c r="I15" t="str">
        <f t="shared" si="4"/>
        <v>4</v>
      </c>
      <c r="J15" t="str">
        <f t="shared" si="5"/>
        <v>7</v>
      </c>
      <c r="K15" t="str">
        <f t="shared" si="6"/>
        <v>3</v>
      </c>
      <c r="L15" t="str">
        <f t="shared" si="7"/>
        <v>8</v>
      </c>
      <c r="M15" s="7" t="str">
        <f t="shared" si="8"/>
        <v>14,2021/1/21,4738,4,7,3,8</v>
      </c>
    </row>
    <row r="16" spans="1:13" ht="18" customHeight="1">
      <c r="A16" s="1" t="s">
        <v>50</v>
      </c>
      <c r="B16" s="1" t="s">
        <v>51</v>
      </c>
      <c r="C16" s="1" t="str">
        <f t="shared" si="0"/>
        <v xml:space="preserve">2021年1月22日 </v>
      </c>
      <c r="D16" s="1" t="s">
        <v>52</v>
      </c>
      <c r="E16" s="6" t="str">
        <f t="shared" si="1"/>
        <v>2021/1/22,</v>
      </c>
      <c r="F16" s="6" t="str">
        <f t="shared" si="2"/>
        <v>2021/1/22,</v>
      </c>
      <c r="G16" s="1" t="s">
        <v>51</v>
      </c>
      <c r="H16" t="str">
        <f t="shared" si="3"/>
        <v>1605</v>
      </c>
      <c r="I16" t="str">
        <f t="shared" si="4"/>
        <v>1</v>
      </c>
      <c r="J16" t="str">
        <f t="shared" si="5"/>
        <v>6</v>
      </c>
      <c r="K16" t="str">
        <f t="shared" si="6"/>
        <v>0</v>
      </c>
      <c r="L16" t="str">
        <f t="shared" si="7"/>
        <v>5</v>
      </c>
      <c r="M16" s="7" t="str">
        <f t="shared" si="8"/>
        <v>15,2021/1/22,1605,1,6,0,5</v>
      </c>
    </row>
    <row r="17" spans="1:13" ht="18" customHeight="1">
      <c r="A17" s="1" t="s">
        <v>53</v>
      </c>
      <c r="B17" s="1" t="s">
        <v>54</v>
      </c>
      <c r="C17" s="1" t="str">
        <f t="shared" si="0"/>
        <v xml:space="preserve">2021年1月25日 </v>
      </c>
      <c r="D17" s="1" t="s">
        <v>55</v>
      </c>
      <c r="E17" s="6" t="str">
        <f t="shared" si="1"/>
        <v>2021/1/25,</v>
      </c>
      <c r="F17" s="6" t="str">
        <f t="shared" si="2"/>
        <v>2021/1/25,</v>
      </c>
      <c r="G17" s="1" t="s">
        <v>54</v>
      </c>
      <c r="H17" t="str">
        <f t="shared" si="3"/>
        <v>2030</v>
      </c>
      <c r="I17" t="str">
        <f t="shared" si="4"/>
        <v>2</v>
      </c>
      <c r="J17" t="str">
        <f t="shared" si="5"/>
        <v>0</v>
      </c>
      <c r="K17" t="str">
        <f t="shared" si="6"/>
        <v>3</v>
      </c>
      <c r="L17" t="str">
        <f t="shared" si="7"/>
        <v>0</v>
      </c>
      <c r="M17" s="7" t="str">
        <f t="shared" si="8"/>
        <v>16,2021/1/25,2030,2,0,3,0</v>
      </c>
    </row>
    <row r="18" spans="1:13" ht="18" customHeight="1">
      <c r="A18" s="1" t="s">
        <v>56</v>
      </c>
      <c r="B18" s="1" t="s">
        <v>57</v>
      </c>
      <c r="C18" s="1" t="str">
        <f t="shared" si="0"/>
        <v xml:space="preserve">2021年1月26日 </v>
      </c>
      <c r="D18" s="1" t="s">
        <v>58</v>
      </c>
      <c r="E18" s="6" t="str">
        <f t="shared" si="1"/>
        <v>2021/1/26,</v>
      </c>
      <c r="F18" s="6" t="str">
        <f t="shared" si="2"/>
        <v>2021/1/26,</v>
      </c>
      <c r="G18" s="1" t="s">
        <v>57</v>
      </c>
      <c r="H18" t="str">
        <f t="shared" si="3"/>
        <v>4298</v>
      </c>
      <c r="I18" t="str">
        <f t="shared" si="4"/>
        <v>4</v>
      </c>
      <c r="J18" t="str">
        <f t="shared" si="5"/>
        <v>2</v>
      </c>
      <c r="K18" t="str">
        <f t="shared" si="6"/>
        <v>9</v>
      </c>
      <c r="L18" t="str">
        <f t="shared" si="7"/>
        <v>8</v>
      </c>
      <c r="M18" s="7" t="str">
        <f t="shared" si="8"/>
        <v>17,2021/1/26,4298,4,2,9,8</v>
      </c>
    </row>
    <row r="19" spans="1:13" ht="18" customHeight="1">
      <c r="A19" s="1" t="s">
        <v>59</v>
      </c>
      <c r="B19" s="1" t="s">
        <v>60</v>
      </c>
      <c r="C19" s="1" t="str">
        <f t="shared" si="0"/>
        <v xml:space="preserve">2021年1月27日 </v>
      </c>
      <c r="D19" s="1" t="s">
        <v>61</v>
      </c>
      <c r="E19" s="6" t="str">
        <f t="shared" si="1"/>
        <v>2021/1/27,</v>
      </c>
      <c r="F19" s="6" t="str">
        <f t="shared" si="2"/>
        <v>2021/1/27,</v>
      </c>
      <c r="G19" s="1" t="s">
        <v>60</v>
      </c>
      <c r="H19" t="str">
        <f t="shared" si="3"/>
        <v>7754</v>
      </c>
      <c r="I19" t="str">
        <f t="shared" si="4"/>
        <v>7</v>
      </c>
      <c r="J19" t="str">
        <f t="shared" si="5"/>
        <v>7</v>
      </c>
      <c r="K19" t="str">
        <f t="shared" si="6"/>
        <v>5</v>
      </c>
      <c r="L19" t="str">
        <f t="shared" si="7"/>
        <v>4</v>
      </c>
      <c r="M19" s="7" t="str">
        <f t="shared" si="8"/>
        <v>18,2021/1/27,7754,7,7,5,4</v>
      </c>
    </row>
    <row r="20" spans="1:13" ht="18" customHeight="1">
      <c r="A20" s="1" t="s">
        <v>62</v>
      </c>
      <c r="B20" s="1" t="s">
        <v>63</v>
      </c>
      <c r="C20" s="1" t="str">
        <f t="shared" si="0"/>
        <v xml:space="preserve">2021年1月28日 </v>
      </c>
      <c r="D20" s="1" t="s">
        <v>64</v>
      </c>
      <c r="E20" s="6" t="str">
        <f t="shared" si="1"/>
        <v>2021/1/28,</v>
      </c>
      <c r="F20" s="6" t="str">
        <f t="shared" si="2"/>
        <v>2021/1/28,</v>
      </c>
      <c r="G20" s="1" t="s">
        <v>63</v>
      </c>
      <c r="H20" t="str">
        <f t="shared" si="3"/>
        <v>1167</v>
      </c>
      <c r="I20" t="str">
        <f t="shared" si="4"/>
        <v>1</v>
      </c>
      <c r="J20" t="str">
        <f t="shared" si="5"/>
        <v>1</v>
      </c>
      <c r="K20" t="str">
        <f t="shared" si="6"/>
        <v>6</v>
      </c>
      <c r="L20" t="str">
        <f t="shared" si="7"/>
        <v>7</v>
      </c>
      <c r="M20" s="7" t="str">
        <f t="shared" si="8"/>
        <v>19,2021/1/28,1167,1,1,6,7</v>
      </c>
    </row>
    <row r="21" spans="1:13" ht="18" customHeight="1">
      <c r="A21" s="1" t="s">
        <v>65</v>
      </c>
      <c r="B21" s="1" t="s">
        <v>66</v>
      </c>
      <c r="C21" s="1" t="str">
        <f t="shared" si="0"/>
        <v xml:space="preserve">2021年1月29日 </v>
      </c>
      <c r="D21" s="1" t="s">
        <v>67</v>
      </c>
      <c r="E21" s="6" t="str">
        <f t="shared" si="1"/>
        <v>2021/1/29,</v>
      </c>
      <c r="F21" s="6" t="str">
        <f t="shared" si="2"/>
        <v>2021/1/29,</v>
      </c>
      <c r="G21" s="1" t="s">
        <v>66</v>
      </c>
      <c r="H21" t="str">
        <f t="shared" si="3"/>
        <v>2537</v>
      </c>
      <c r="I21" t="str">
        <f t="shared" si="4"/>
        <v>2</v>
      </c>
      <c r="J21" t="str">
        <f t="shared" si="5"/>
        <v>5</v>
      </c>
      <c r="K21" t="str">
        <f t="shared" si="6"/>
        <v>3</v>
      </c>
      <c r="L21" t="str">
        <f t="shared" si="7"/>
        <v>7</v>
      </c>
      <c r="M21" s="7" t="str">
        <f t="shared" si="8"/>
        <v>20,2021/1/29,2537,2,5,3,7</v>
      </c>
    </row>
    <row r="22" spans="1:13" ht="18" customHeight="1">
      <c r="A22" s="1" t="s">
        <v>68</v>
      </c>
      <c r="B22" s="1" t="s">
        <v>69</v>
      </c>
      <c r="C22" s="1" t="str">
        <f t="shared" si="0"/>
        <v>2021年2月1日  </v>
      </c>
      <c r="D22" s="1" t="s">
        <v>70</v>
      </c>
      <c r="E22" s="6" t="str">
        <f t="shared" si="1"/>
        <v>2021/2/1,</v>
      </c>
      <c r="F22" s="6" t="str">
        <f t="shared" si="2"/>
        <v>2021/2/1,</v>
      </c>
      <c r="G22" s="1" t="s">
        <v>69</v>
      </c>
      <c r="H22" t="str">
        <f t="shared" si="3"/>
        <v>5346</v>
      </c>
      <c r="I22" t="str">
        <f t="shared" si="4"/>
        <v>5</v>
      </c>
      <c r="J22" t="str">
        <f t="shared" si="5"/>
        <v>3</v>
      </c>
      <c r="K22" t="str">
        <f t="shared" si="6"/>
        <v>4</v>
      </c>
      <c r="L22" t="str">
        <f t="shared" si="7"/>
        <v>6</v>
      </c>
      <c r="M22" s="7" t="str">
        <f t="shared" si="8"/>
        <v>21,2021/2/1,5346,5,3,4,6</v>
      </c>
    </row>
    <row r="23" spans="1:13" ht="18" customHeight="1">
      <c r="A23" s="1" t="s">
        <v>71</v>
      </c>
      <c r="B23" s="1" t="s">
        <v>72</v>
      </c>
      <c r="C23" s="1" t="str">
        <f t="shared" si="0"/>
        <v>2021年2月2日  </v>
      </c>
      <c r="D23" s="1" t="s">
        <v>73</v>
      </c>
      <c r="E23" s="6" t="str">
        <f t="shared" si="1"/>
        <v>2021/2/2,</v>
      </c>
      <c r="F23" s="6" t="str">
        <f t="shared" si="2"/>
        <v>2021/2/2,</v>
      </c>
      <c r="G23" s="1" t="s">
        <v>72</v>
      </c>
      <c r="H23" t="str">
        <f t="shared" si="3"/>
        <v>7148</v>
      </c>
      <c r="I23" t="str">
        <f t="shared" si="4"/>
        <v>7</v>
      </c>
      <c r="J23" t="str">
        <f t="shared" si="5"/>
        <v>1</v>
      </c>
      <c r="K23" t="str">
        <f t="shared" si="6"/>
        <v>4</v>
      </c>
      <c r="L23" t="str">
        <f t="shared" si="7"/>
        <v>8</v>
      </c>
      <c r="M23" s="7" t="str">
        <f t="shared" si="8"/>
        <v>22,2021/2/2,7148,7,1,4,8</v>
      </c>
    </row>
    <row r="24" spans="1:13" ht="18" customHeight="1">
      <c r="A24" s="1" t="s">
        <v>74</v>
      </c>
      <c r="B24" s="1" t="s">
        <v>75</v>
      </c>
      <c r="C24" s="1" t="str">
        <f t="shared" si="0"/>
        <v>2021年2月3日  </v>
      </c>
      <c r="D24" s="1" t="s">
        <v>76</v>
      </c>
      <c r="E24" s="6" t="str">
        <f t="shared" si="1"/>
        <v>2021/2/3,</v>
      </c>
      <c r="F24" s="6" t="str">
        <f t="shared" si="2"/>
        <v>2021/2/3,</v>
      </c>
      <c r="G24" s="1" t="s">
        <v>75</v>
      </c>
      <c r="H24" t="str">
        <f t="shared" si="3"/>
        <v>8752</v>
      </c>
      <c r="I24" t="str">
        <f t="shared" si="4"/>
        <v>8</v>
      </c>
      <c r="J24" t="str">
        <f t="shared" si="5"/>
        <v>7</v>
      </c>
      <c r="K24" t="str">
        <f t="shared" si="6"/>
        <v>5</v>
      </c>
      <c r="L24" t="str">
        <f t="shared" si="7"/>
        <v>2</v>
      </c>
      <c r="M24" s="7" t="str">
        <f t="shared" si="8"/>
        <v>23,2021/2/3,8752,8,7,5,2</v>
      </c>
    </row>
    <row r="25" spans="1:13" ht="18" customHeight="1">
      <c r="A25" s="1" t="s">
        <v>77</v>
      </c>
      <c r="B25" s="1" t="s">
        <v>78</v>
      </c>
      <c r="C25" s="1" t="str">
        <f t="shared" si="0"/>
        <v>2021年2月4日  </v>
      </c>
      <c r="D25" s="1" t="s">
        <v>79</v>
      </c>
      <c r="E25" s="6" t="str">
        <f t="shared" si="1"/>
        <v>2021/2/4,</v>
      </c>
      <c r="F25" s="6" t="str">
        <f t="shared" si="2"/>
        <v>2021/2/4,</v>
      </c>
      <c r="G25" s="1" t="s">
        <v>78</v>
      </c>
      <c r="H25" t="str">
        <f t="shared" si="3"/>
        <v>0169</v>
      </c>
      <c r="I25" t="str">
        <f t="shared" si="4"/>
        <v>0</v>
      </c>
      <c r="J25" t="str">
        <f t="shared" si="5"/>
        <v>1</v>
      </c>
      <c r="K25" t="str">
        <f t="shared" si="6"/>
        <v>6</v>
      </c>
      <c r="L25" t="str">
        <f t="shared" si="7"/>
        <v>9</v>
      </c>
      <c r="M25" s="7" t="str">
        <f t="shared" si="8"/>
        <v>24,2021/2/4,0169,0,1,6,9</v>
      </c>
    </row>
    <row r="26" spans="1:13" ht="18" customHeight="1">
      <c r="A26" s="1" t="s">
        <v>80</v>
      </c>
      <c r="B26" s="1" t="s">
        <v>81</v>
      </c>
      <c r="C26" s="1" t="str">
        <f t="shared" si="0"/>
        <v>2021年2月5日  </v>
      </c>
      <c r="D26" s="1" t="s">
        <v>82</v>
      </c>
      <c r="E26" s="6" t="str">
        <f t="shared" si="1"/>
        <v>2021/2/5,</v>
      </c>
      <c r="F26" s="6" t="str">
        <f t="shared" si="2"/>
        <v>2021/2/5,</v>
      </c>
      <c r="G26" s="1" t="s">
        <v>81</v>
      </c>
      <c r="H26" t="str">
        <f t="shared" si="3"/>
        <v>3110</v>
      </c>
      <c r="I26" t="str">
        <f t="shared" si="4"/>
        <v>3</v>
      </c>
      <c r="J26" t="str">
        <f t="shared" si="5"/>
        <v>1</v>
      </c>
      <c r="K26" t="str">
        <f t="shared" si="6"/>
        <v>1</v>
      </c>
      <c r="L26" t="str">
        <f t="shared" si="7"/>
        <v>0</v>
      </c>
      <c r="M26" s="7" t="str">
        <f t="shared" si="8"/>
        <v>25,2021/2/5,3110,3,1,1,0</v>
      </c>
    </row>
    <row r="27" spans="1:13" ht="18" customHeight="1">
      <c r="A27" s="1" t="s">
        <v>83</v>
      </c>
      <c r="B27" s="1" t="s">
        <v>84</v>
      </c>
      <c r="C27" s="1" t="str">
        <f t="shared" si="0"/>
        <v>2021年2月8日  </v>
      </c>
      <c r="D27" s="1" t="s">
        <v>85</v>
      </c>
      <c r="E27" s="6" t="str">
        <f t="shared" si="1"/>
        <v>2021/2/8,</v>
      </c>
      <c r="F27" s="6" t="str">
        <f t="shared" si="2"/>
        <v>2021/2/8,</v>
      </c>
      <c r="G27" s="1" t="s">
        <v>84</v>
      </c>
      <c r="H27" t="str">
        <f t="shared" si="3"/>
        <v>6587</v>
      </c>
      <c r="I27" t="str">
        <f t="shared" si="4"/>
        <v>6</v>
      </c>
      <c r="J27" t="str">
        <f t="shared" si="5"/>
        <v>5</v>
      </c>
      <c r="K27" t="str">
        <f t="shared" si="6"/>
        <v>8</v>
      </c>
      <c r="L27" t="str">
        <f t="shared" si="7"/>
        <v>7</v>
      </c>
      <c r="M27" s="7" t="str">
        <f t="shared" si="8"/>
        <v>26,2021/2/8,6587,6,5,8,7</v>
      </c>
    </row>
    <row r="28" spans="1:13" ht="18" customHeight="1">
      <c r="A28" s="1" t="s">
        <v>86</v>
      </c>
      <c r="B28" s="1" t="s">
        <v>87</v>
      </c>
      <c r="C28" s="1" t="str">
        <f t="shared" si="0"/>
        <v>2021年2月9日  </v>
      </c>
      <c r="D28" s="1" t="s">
        <v>88</v>
      </c>
      <c r="E28" s="6" t="str">
        <f t="shared" si="1"/>
        <v>2021/2/9,</v>
      </c>
      <c r="F28" s="6" t="str">
        <f t="shared" si="2"/>
        <v>2021/2/9,</v>
      </c>
      <c r="G28" s="1" t="s">
        <v>87</v>
      </c>
      <c r="H28" t="str">
        <f t="shared" si="3"/>
        <v>4728</v>
      </c>
      <c r="I28" t="str">
        <f t="shared" si="4"/>
        <v>4</v>
      </c>
      <c r="J28" t="str">
        <f t="shared" si="5"/>
        <v>7</v>
      </c>
      <c r="K28" t="str">
        <f t="shared" si="6"/>
        <v>2</v>
      </c>
      <c r="L28" t="str">
        <f t="shared" si="7"/>
        <v>8</v>
      </c>
      <c r="M28" s="7" t="str">
        <f t="shared" si="8"/>
        <v>27,2021/2/9,4728,4,7,2,8</v>
      </c>
    </row>
    <row r="29" spans="1:13" ht="18" customHeight="1">
      <c r="A29" s="1" t="s">
        <v>89</v>
      </c>
      <c r="B29" s="1" t="s">
        <v>90</v>
      </c>
      <c r="C29" s="1" t="str">
        <f t="shared" si="0"/>
        <v xml:space="preserve">2021年2月10日 </v>
      </c>
      <c r="D29" s="1" t="s">
        <v>91</v>
      </c>
      <c r="E29" s="6" t="str">
        <f t="shared" si="1"/>
        <v>2021/2/10,</v>
      </c>
      <c r="F29" s="6" t="str">
        <f t="shared" si="2"/>
        <v>2021/2/10,</v>
      </c>
      <c r="G29" s="1" t="s">
        <v>90</v>
      </c>
      <c r="H29" t="str">
        <f t="shared" si="3"/>
        <v>4377</v>
      </c>
      <c r="I29" t="str">
        <f t="shared" si="4"/>
        <v>4</v>
      </c>
      <c r="J29" t="str">
        <f t="shared" si="5"/>
        <v>3</v>
      </c>
      <c r="K29" t="str">
        <f t="shared" si="6"/>
        <v>7</v>
      </c>
      <c r="L29" t="str">
        <f t="shared" si="7"/>
        <v>7</v>
      </c>
      <c r="M29" s="7" t="str">
        <f t="shared" si="8"/>
        <v>28,2021/2/10,4377,4,3,7,7</v>
      </c>
    </row>
    <row r="30" spans="1:13" ht="18" customHeight="1">
      <c r="A30" s="1" t="s">
        <v>92</v>
      </c>
      <c r="B30" s="1" t="s">
        <v>93</v>
      </c>
      <c r="C30" s="1" t="str">
        <f t="shared" si="0"/>
        <v xml:space="preserve">2021年2月11日 </v>
      </c>
      <c r="D30" s="1" t="s">
        <v>94</v>
      </c>
      <c r="E30" s="6" t="str">
        <f t="shared" si="1"/>
        <v>2021/2/11,</v>
      </c>
      <c r="F30" s="6" t="str">
        <f t="shared" si="2"/>
        <v>2021/2/11,</v>
      </c>
      <c r="G30" s="1" t="s">
        <v>93</v>
      </c>
      <c r="H30" t="str">
        <f t="shared" si="3"/>
        <v>3840</v>
      </c>
      <c r="I30" t="str">
        <f t="shared" si="4"/>
        <v>3</v>
      </c>
      <c r="J30" t="str">
        <f t="shared" si="5"/>
        <v>8</v>
      </c>
      <c r="K30" t="str">
        <f t="shared" si="6"/>
        <v>4</v>
      </c>
      <c r="L30" t="str">
        <f t="shared" si="7"/>
        <v>0</v>
      </c>
      <c r="M30" s="7" t="str">
        <f t="shared" si="8"/>
        <v>29,2021/2/11,3840,3,8,4,0</v>
      </c>
    </row>
    <row r="31" spans="1:13" ht="18" customHeight="1">
      <c r="A31" s="1" t="s">
        <v>95</v>
      </c>
      <c r="B31" s="1" t="s">
        <v>96</v>
      </c>
      <c r="C31" s="1" t="str">
        <f t="shared" si="0"/>
        <v xml:space="preserve">2021年2月12日 </v>
      </c>
      <c r="D31" s="1" t="s">
        <v>97</v>
      </c>
      <c r="E31" s="6" t="str">
        <f t="shared" si="1"/>
        <v>2021/2/12,</v>
      </c>
      <c r="F31" s="6" t="str">
        <f t="shared" si="2"/>
        <v>2021/2/12,</v>
      </c>
      <c r="G31" s="1" t="s">
        <v>96</v>
      </c>
      <c r="H31" t="str">
        <f t="shared" si="3"/>
        <v>6012</v>
      </c>
      <c r="I31" t="str">
        <f t="shared" si="4"/>
        <v>6</v>
      </c>
      <c r="J31" t="str">
        <f t="shared" si="5"/>
        <v>0</v>
      </c>
      <c r="K31" t="str">
        <f t="shared" si="6"/>
        <v>1</v>
      </c>
      <c r="L31" t="str">
        <f t="shared" si="7"/>
        <v>2</v>
      </c>
      <c r="M31" s="7" t="str">
        <f t="shared" si="8"/>
        <v>30,2021/2/12,6012,6,0,1,2</v>
      </c>
    </row>
    <row r="32" spans="1:13" ht="18" customHeight="1">
      <c r="A32" s="1" t="s">
        <v>98</v>
      </c>
      <c r="B32" s="1" t="s">
        <v>99</v>
      </c>
      <c r="C32" s="1" t="str">
        <f t="shared" si="0"/>
        <v xml:space="preserve">2021年2月15日 </v>
      </c>
      <c r="D32" s="1" t="s">
        <v>100</v>
      </c>
      <c r="E32" s="6" t="str">
        <f t="shared" si="1"/>
        <v>2021/2/15,</v>
      </c>
      <c r="F32" s="6" t="str">
        <f t="shared" si="2"/>
        <v>2021/2/15,</v>
      </c>
      <c r="G32" s="1" t="s">
        <v>99</v>
      </c>
      <c r="H32" t="str">
        <f t="shared" si="3"/>
        <v>7944</v>
      </c>
      <c r="I32" t="str">
        <f t="shared" si="4"/>
        <v>7</v>
      </c>
      <c r="J32" t="str">
        <f t="shared" si="5"/>
        <v>9</v>
      </c>
      <c r="K32" t="str">
        <f t="shared" si="6"/>
        <v>4</v>
      </c>
      <c r="L32" t="str">
        <f t="shared" si="7"/>
        <v>4</v>
      </c>
      <c r="M32" s="7" t="str">
        <f t="shared" si="8"/>
        <v>31,2021/2/15,7944,7,9,4,4</v>
      </c>
    </row>
    <row r="33" spans="1:13" ht="18" customHeight="1">
      <c r="A33" s="1" t="s">
        <v>101</v>
      </c>
      <c r="B33" s="1" t="s">
        <v>102</v>
      </c>
      <c r="C33" s="1" t="str">
        <f t="shared" si="0"/>
        <v xml:space="preserve">2021年2月16日 </v>
      </c>
      <c r="D33" s="1" t="s">
        <v>103</v>
      </c>
      <c r="E33" s="6" t="str">
        <f t="shared" si="1"/>
        <v>2021/2/16,</v>
      </c>
      <c r="F33" s="6" t="str">
        <f t="shared" si="2"/>
        <v>2021/2/16,</v>
      </c>
      <c r="G33" s="1" t="s">
        <v>102</v>
      </c>
      <c r="H33" t="str">
        <f t="shared" si="3"/>
        <v>6901</v>
      </c>
      <c r="I33" t="str">
        <f t="shared" si="4"/>
        <v>6</v>
      </c>
      <c r="J33" t="str">
        <f t="shared" si="5"/>
        <v>9</v>
      </c>
      <c r="K33" t="str">
        <f t="shared" si="6"/>
        <v>0</v>
      </c>
      <c r="L33" t="str">
        <f t="shared" si="7"/>
        <v>1</v>
      </c>
      <c r="M33" s="7" t="str">
        <f t="shared" si="8"/>
        <v>32,2021/2/16,6901,6,9,0,1</v>
      </c>
    </row>
    <row r="34" spans="1:13" ht="18" customHeight="1">
      <c r="A34" s="1" t="s">
        <v>104</v>
      </c>
      <c r="B34" s="1" t="s">
        <v>105</v>
      </c>
      <c r="C34" s="1" t="str">
        <f t="shared" si="0"/>
        <v xml:space="preserve">2021年2月17日 </v>
      </c>
      <c r="D34" s="1" t="s">
        <v>106</v>
      </c>
      <c r="E34" s="6" t="str">
        <f t="shared" si="1"/>
        <v>2021/2/17,</v>
      </c>
      <c r="F34" s="6" t="str">
        <f t="shared" si="2"/>
        <v>2021/2/17,</v>
      </c>
      <c r="G34" s="1" t="s">
        <v>105</v>
      </c>
      <c r="H34" t="str">
        <f t="shared" si="3"/>
        <v>2968</v>
      </c>
      <c r="I34" t="str">
        <f t="shared" si="4"/>
        <v>2</v>
      </c>
      <c r="J34" t="str">
        <f t="shared" si="5"/>
        <v>9</v>
      </c>
      <c r="K34" t="str">
        <f t="shared" si="6"/>
        <v>6</v>
      </c>
      <c r="L34" t="str">
        <f t="shared" si="7"/>
        <v>8</v>
      </c>
      <c r="M34" s="7" t="str">
        <f t="shared" si="8"/>
        <v>33,2021/2/17,2968,2,9,6,8</v>
      </c>
    </row>
    <row r="35" spans="1:13" ht="18" customHeight="1">
      <c r="A35" s="1" t="s">
        <v>107</v>
      </c>
      <c r="B35" s="1" t="s">
        <v>108</v>
      </c>
      <c r="C35" s="1" t="str">
        <f t="shared" si="0"/>
        <v xml:space="preserve">2021年2月18日 </v>
      </c>
      <c r="D35" s="1" t="s">
        <v>109</v>
      </c>
      <c r="E35" s="6" t="str">
        <f t="shared" si="1"/>
        <v>2021/2/18,</v>
      </c>
      <c r="F35" s="6" t="str">
        <f t="shared" si="2"/>
        <v>2021/2/18,</v>
      </c>
      <c r="G35" s="1" t="s">
        <v>108</v>
      </c>
      <c r="H35" t="str">
        <f t="shared" si="3"/>
        <v>9635</v>
      </c>
      <c r="I35" t="str">
        <f t="shared" si="4"/>
        <v>9</v>
      </c>
      <c r="J35" t="str">
        <f t="shared" si="5"/>
        <v>6</v>
      </c>
      <c r="K35" t="str">
        <f t="shared" si="6"/>
        <v>3</v>
      </c>
      <c r="L35" t="str">
        <f t="shared" si="7"/>
        <v>5</v>
      </c>
      <c r="M35" s="7" t="str">
        <f t="shared" si="8"/>
        <v>34,2021/2/18,9635,9,6,3,5</v>
      </c>
    </row>
    <row r="36" spans="1:13" ht="18" customHeight="1">
      <c r="A36" s="1" t="s">
        <v>110</v>
      </c>
      <c r="B36" s="1" t="s">
        <v>111</v>
      </c>
      <c r="C36" s="1" t="str">
        <f t="shared" si="0"/>
        <v xml:space="preserve">2021年2月19日 </v>
      </c>
      <c r="D36" s="1" t="s">
        <v>112</v>
      </c>
      <c r="E36" s="6" t="str">
        <f t="shared" si="1"/>
        <v>2021/2/19,</v>
      </c>
      <c r="F36" s="6" t="str">
        <f t="shared" si="2"/>
        <v>2021/2/19,</v>
      </c>
      <c r="G36" s="1" t="s">
        <v>111</v>
      </c>
      <c r="H36" t="str">
        <f t="shared" si="3"/>
        <v>8886</v>
      </c>
      <c r="I36" t="str">
        <f t="shared" si="4"/>
        <v>8</v>
      </c>
      <c r="J36" t="str">
        <f t="shared" si="5"/>
        <v>8</v>
      </c>
      <c r="K36" t="str">
        <f t="shared" si="6"/>
        <v>8</v>
      </c>
      <c r="L36" t="str">
        <f t="shared" si="7"/>
        <v>6</v>
      </c>
      <c r="M36" s="7" t="str">
        <f t="shared" si="8"/>
        <v>35,2021/2/19,8886,8,8,8,6</v>
      </c>
    </row>
    <row r="37" spans="1:13" ht="18" customHeight="1">
      <c r="A37" s="1" t="s">
        <v>113</v>
      </c>
      <c r="B37" s="1" t="s">
        <v>114</v>
      </c>
      <c r="C37" s="1" t="str">
        <f t="shared" si="0"/>
        <v xml:space="preserve">2021年2月22日 </v>
      </c>
      <c r="D37" s="1" t="s">
        <v>115</v>
      </c>
      <c r="E37" s="6" t="str">
        <f t="shared" si="1"/>
        <v>2021/2/22,</v>
      </c>
      <c r="F37" s="6" t="str">
        <f t="shared" si="2"/>
        <v>2021/2/22,</v>
      </c>
      <c r="G37" s="1" t="s">
        <v>114</v>
      </c>
      <c r="H37" t="str">
        <f t="shared" si="3"/>
        <v>4246</v>
      </c>
      <c r="I37" t="str">
        <f t="shared" si="4"/>
        <v>4</v>
      </c>
      <c r="J37" t="str">
        <f t="shared" si="5"/>
        <v>2</v>
      </c>
      <c r="K37" t="str">
        <f t="shared" si="6"/>
        <v>4</v>
      </c>
      <c r="L37" t="str">
        <f t="shared" si="7"/>
        <v>6</v>
      </c>
      <c r="M37" s="7" t="str">
        <f t="shared" si="8"/>
        <v>36,2021/2/22,4246,4,2,4,6</v>
      </c>
    </row>
    <row r="38" spans="1:13" ht="18" customHeight="1">
      <c r="A38" s="1" t="s">
        <v>116</v>
      </c>
      <c r="B38" s="1" t="s">
        <v>117</v>
      </c>
      <c r="C38" s="1" t="str">
        <f t="shared" si="0"/>
        <v xml:space="preserve">2021年2月23日 </v>
      </c>
      <c r="D38" s="1" t="s">
        <v>118</v>
      </c>
      <c r="E38" s="6" t="str">
        <f t="shared" si="1"/>
        <v>2021/2/23,</v>
      </c>
      <c r="F38" s="6" t="str">
        <f t="shared" si="2"/>
        <v>2021/2/23,</v>
      </c>
      <c r="G38" s="1" t="s">
        <v>117</v>
      </c>
      <c r="H38" t="str">
        <f t="shared" si="3"/>
        <v>1968</v>
      </c>
      <c r="I38" t="str">
        <f t="shared" si="4"/>
        <v>1</v>
      </c>
      <c r="J38" t="str">
        <f t="shared" si="5"/>
        <v>9</v>
      </c>
      <c r="K38" t="str">
        <f t="shared" si="6"/>
        <v>6</v>
      </c>
      <c r="L38" t="str">
        <f t="shared" si="7"/>
        <v>8</v>
      </c>
      <c r="M38" s="7" t="str">
        <f t="shared" si="8"/>
        <v>37,2021/2/23,1968,1,9,6,8</v>
      </c>
    </row>
    <row r="39" spans="1:13" ht="18" customHeight="1">
      <c r="A39" s="1" t="s">
        <v>119</v>
      </c>
      <c r="B39" s="1" t="s">
        <v>120</v>
      </c>
      <c r="C39" s="1" t="str">
        <f t="shared" si="0"/>
        <v xml:space="preserve">2021年2月24日 </v>
      </c>
      <c r="D39" s="1" t="s">
        <v>121</v>
      </c>
      <c r="E39" s="6" t="str">
        <f t="shared" si="1"/>
        <v>2021/2/24,</v>
      </c>
      <c r="F39" s="6" t="str">
        <f t="shared" si="2"/>
        <v>2021/2/24,</v>
      </c>
      <c r="G39" s="1" t="s">
        <v>120</v>
      </c>
      <c r="H39" t="str">
        <f t="shared" si="3"/>
        <v>9491</v>
      </c>
      <c r="I39" t="str">
        <f t="shared" si="4"/>
        <v>9</v>
      </c>
      <c r="J39" t="str">
        <f t="shared" si="5"/>
        <v>4</v>
      </c>
      <c r="K39" t="str">
        <f t="shared" si="6"/>
        <v>9</v>
      </c>
      <c r="L39" t="str">
        <f t="shared" si="7"/>
        <v>1</v>
      </c>
      <c r="M39" s="7" t="str">
        <f t="shared" si="8"/>
        <v>38,2021/2/24,9491,9,4,9,1</v>
      </c>
    </row>
    <row r="40" spans="1:13" ht="18" customHeight="1">
      <c r="A40" s="1" t="s">
        <v>122</v>
      </c>
      <c r="B40" s="1" t="s">
        <v>123</v>
      </c>
      <c r="C40" s="1" t="str">
        <f t="shared" si="0"/>
        <v xml:space="preserve">2021年2月25日 </v>
      </c>
      <c r="D40" s="1" t="s">
        <v>124</v>
      </c>
      <c r="E40" s="6" t="str">
        <f t="shared" si="1"/>
        <v>2021/2/25,</v>
      </c>
      <c r="F40" s="6" t="str">
        <f t="shared" si="2"/>
        <v>2021/2/25,</v>
      </c>
      <c r="G40" s="1" t="s">
        <v>123</v>
      </c>
      <c r="H40" t="str">
        <f t="shared" si="3"/>
        <v>9613</v>
      </c>
      <c r="I40" t="str">
        <f t="shared" si="4"/>
        <v>9</v>
      </c>
      <c r="J40" t="str">
        <f t="shared" si="5"/>
        <v>6</v>
      </c>
      <c r="K40" t="str">
        <f t="shared" si="6"/>
        <v>1</v>
      </c>
      <c r="L40" t="str">
        <f t="shared" si="7"/>
        <v>3</v>
      </c>
      <c r="M40" s="7" t="str">
        <f t="shared" si="8"/>
        <v>39,2021/2/25,9613,9,6,1,3</v>
      </c>
    </row>
    <row r="41" spans="1:13" ht="18" customHeight="1">
      <c r="A41" s="1" t="s">
        <v>125</v>
      </c>
      <c r="B41" s="1" t="s">
        <v>126</v>
      </c>
      <c r="C41" s="1" t="str">
        <f t="shared" si="0"/>
        <v xml:space="preserve">2021年2月26日 </v>
      </c>
      <c r="D41" s="1" t="s">
        <v>127</v>
      </c>
      <c r="E41" s="6" t="str">
        <f t="shared" si="1"/>
        <v>2021/2/26,</v>
      </c>
      <c r="F41" s="6" t="str">
        <f t="shared" si="2"/>
        <v>2021/2/26,</v>
      </c>
      <c r="G41" s="1" t="s">
        <v>126</v>
      </c>
      <c r="H41" t="str">
        <f t="shared" si="3"/>
        <v>9691</v>
      </c>
      <c r="I41" t="str">
        <f t="shared" si="4"/>
        <v>9</v>
      </c>
      <c r="J41" t="str">
        <f t="shared" si="5"/>
        <v>6</v>
      </c>
      <c r="K41" t="str">
        <f t="shared" si="6"/>
        <v>9</v>
      </c>
      <c r="L41" t="str">
        <f t="shared" si="7"/>
        <v>1</v>
      </c>
      <c r="M41" s="7" t="str">
        <f t="shared" si="8"/>
        <v>40,2021/2/26,9691,9,6,9,1</v>
      </c>
    </row>
    <row r="42" spans="1:13" ht="18" customHeight="1">
      <c r="A42" s="1" t="s">
        <v>128</v>
      </c>
      <c r="B42" s="1" t="s">
        <v>129</v>
      </c>
      <c r="C42" s="1" t="str">
        <f t="shared" si="0"/>
        <v>2021年3月1日  </v>
      </c>
      <c r="D42" s="1" t="s">
        <v>130</v>
      </c>
      <c r="E42" s="6" t="str">
        <f t="shared" si="1"/>
        <v>2021/3/1,</v>
      </c>
      <c r="F42" s="6" t="str">
        <f t="shared" si="2"/>
        <v>2021/3/1,</v>
      </c>
      <c r="G42" s="1" t="s">
        <v>129</v>
      </c>
      <c r="H42" t="str">
        <f t="shared" si="3"/>
        <v>5378</v>
      </c>
      <c r="I42" t="str">
        <f t="shared" si="4"/>
        <v>5</v>
      </c>
      <c r="J42" t="str">
        <f t="shared" si="5"/>
        <v>3</v>
      </c>
      <c r="K42" t="str">
        <f t="shared" si="6"/>
        <v>7</v>
      </c>
      <c r="L42" t="str">
        <f t="shared" si="7"/>
        <v>8</v>
      </c>
      <c r="M42" s="7" t="str">
        <f t="shared" si="8"/>
        <v>41,2021/3/1,5378,5,3,7,8</v>
      </c>
    </row>
    <row r="43" spans="1:13" ht="18" customHeight="1">
      <c r="A43" s="1" t="s">
        <v>131</v>
      </c>
      <c r="B43" s="1" t="s">
        <v>132</v>
      </c>
      <c r="C43" s="1" t="str">
        <f t="shared" si="0"/>
        <v>2021年3月2日  </v>
      </c>
      <c r="D43" s="1" t="s">
        <v>133</v>
      </c>
      <c r="E43" s="6" t="str">
        <f t="shared" si="1"/>
        <v>2021/3/2,</v>
      </c>
      <c r="F43" s="6" t="str">
        <f t="shared" si="2"/>
        <v>2021/3/2,</v>
      </c>
      <c r="G43" s="1" t="s">
        <v>132</v>
      </c>
      <c r="H43" t="str">
        <f t="shared" si="3"/>
        <v>8117</v>
      </c>
      <c r="I43" t="str">
        <f t="shared" si="4"/>
        <v>8</v>
      </c>
      <c r="J43" t="str">
        <f t="shared" si="5"/>
        <v>1</v>
      </c>
      <c r="K43" t="str">
        <f t="shared" si="6"/>
        <v>1</v>
      </c>
      <c r="L43" t="str">
        <f t="shared" si="7"/>
        <v>7</v>
      </c>
      <c r="M43" s="7" t="str">
        <f t="shared" si="8"/>
        <v>42,2021/3/2,8117,8,1,1,7</v>
      </c>
    </row>
    <row r="44" spans="1:13" ht="18" customHeight="1">
      <c r="A44" s="1" t="s">
        <v>134</v>
      </c>
      <c r="B44" s="1" t="s">
        <v>135</v>
      </c>
      <c r="C44" s="1" t="str">
        <f t="shared" si="0"/>
        <v>2021年3月3日  </v>
      </c>
      <c r="D44" s="1" t="s">
        <v>136</v>
      </c>
      <c r="E44" s="6" t="str">
        <f t="shared" si="1"/>
        <v>2021/3/3,</v>
      </c>
      <c r="F44" s="6" t="str">
        <f t="shared" si="2"/>
        <v>2021/3/3,</v>
      </c>
      <c r="G44" s="1" t="s">
        <v>135</v>
      </c>
      <c r="H44" t="str">
        <f t="shared" si="3"/>
        <v>2658</v>
      </c>
      <c r="I44" t="str">
        <f t="shared" si="4"/>
        <v>2</v>
      </c>
      <c r="J44" t="str">
        <f t="shared" si="5"/>
        <v>6</v>
      </c>
      <c r="K44" t="str">
        <f t="shared" si="6"/>
        <v>5</v>
      </c>
      <c r="L44" t="str">
        <f t="shared" si="7"/>
        <v>8</v>
      </c>
      <c r="M44" s="7" t="str">
        <f t="shared" si="8"/>
        <v>43,2021/3/3,2658,2,6,5,8</v>
      </c>
    </row>
    <row r="45" spans="1:13" ht="18" customHeight="1">
      <c r="A45" s="1" t="s">
        <v>137</v>
      </c>
      <c r="B45" s="1" t="s">
        <v>138</v>
      </c>
      <c r="C45" s="1" t="str">
        <f t="shared" si="0"/>
        <v>2021年3月4日  </v>
      </c>
      <c r="D45" s="1" t="s">
        <v>139</v>
      </c>
      <c r="E45" s="6" t="str">
        <f t="shared" si="1"/>
        <v>2021/3/4,</v>
      </c>
      <c r="F45" s="6" t="str">
        <f t="shared" si="2"/>
        <v>2021/3/4,</v>
      </c>
      <c r="G45" s="1" t="s">
        <v>138</v>
      </c>
      <c r="H45" t="str">
        <f t="shared" si="3"/>
        <v>3364</v>
      </c>
      <c r="I45" t="str">
        <f t="shared" si="4"/>
        <v>3</v>
      </c>
      <c r="J45" t="str">
        <f t="shared" si="5"/>
        <v>3</v>
      </c>
      <c r="K45" t="str">
        <f t="shared" si="6"/>
        <v>6</v>
      </c>
      <c r="L45" t="str">
        <f t="shared" si="7"/>
        <v>4</v>
      </c>
      <c r="M45" s="7" t="str">
        <f t="shared" si="8"/>
        <v>44,2021/3/4,3364,3,3,6,4</v>
      </c>
    </row>
    <row r="46" spans="1:13" ht="18" customHeight="1">
      <c r="A46" s="1" t="s">
        <v>140</v>
      </c>
      <c r="B46" s="1" t="s">
        <v>141</v>
      </c>
      <c r="C46" s="1" t="str">
        <f t="shared" si="0"/>
        <v>2021年3月5日  </v>
      </c>
      <c r="D46" s="1" t="s">
        <v>142</v>
      </c>
      <c r="E46" s="6" t="str">
        <f t="shared" si="1"/>
        <v>2021/3/5,</v>
      </c>
      <c r="F46" s="6" t="str">
        <f t="shared" si="2"/>
        <v>2021/3/5,</v>
      </c>
      <c r="G46" s="1" t="s">
        <v>141</v>
      </c>
      <c r="H46" t="str">
        <f t="shared" si="3"/>
        <v>4525</v>
      </c>
      <c r="I46" t="str">
        <f t="shared" si="4"/>
        <v>4</v>
      </c>
      <c r="J46" t="str">
        <f t="shared" si="5"/>
        <v>5</v>
      </c>
      <c r="K46" t="str">
        <f t="shared" si="6"/>
        <v>2</v>
      </c>
      <c r="L46" t="str">
        <f t="shared" si="7"/>
        <v>5</v>
      </c>
      <c r="M46" s="7" t="str">
        <f t="shared" si="8"/>
        <v>45,2021/3/5,4525,4,5,2,5</v>
      </c>
    </row>
    <row r="47" spans="1:13" ht="18" customHeight="1">
      <c r="A47" s="1" t="s">
        <v>143</v>
      </c>
      <c r="B47" s="1" t="s">
        <v>144</v>
      </c>
      <c r="C47" s="1" t="str">
        <f t="shared" si="0"/>
        <v>2021年3月8日  </v>
      </c>
      <c r="D47" s="1" t="s">
        <v>145</v>
      </c>
      <c r="E47" s="6" t="str">
        <f t="shared" si="1"/>
        <v>2021/3/8,</v>
      </c>
      <c r="F47" s="6" t="str">
        <f t="shared" si="2"/>
        <v>2021/3/8,</v>
      </c>
      <c r="G47" s="1" t="s">
        <v>144</v>
      </c>
      <c r="H47" t="str">
        <f t="shared" si="3"/>
        <v>6290</v>
      </c>
      <c r="I47" t="str">
        <f t="shared" si="4"/>
        <v>6</v>
      </c>
      <c r="J47" t="str">
        <f t="shared" si="5"/>
        <v>2</v>
      </c>
      <c r="K47" t="str">
        <f t="shared" si="6"/>
        <v>9</v>
      </c>
      <c r="L47" t="str">
        <f t="shared" si="7"/>
        <v>0</v>
      </c>
      <c r="M47" s="7" t="str">
        <f t="shared" si="8"/>
        <v>46,2021/3/8,6290,6,2,9,0</v>
      </c>
    </row>
    <row r="48" spans="1:13" ht="18" customHeight="1">
      <c r="A48" s="1" t="s">
        <v>146</v>
      </c>
      <c r="B48" s="1" t="s">
        <v>147</v>
      </c>
      <c r="C48" s="1" t="str">
        <f t="shared" si="0"/>
        <v>2021年3月9日  </v>
      </c>
      <c r="D48" s="1" t="s">
        <v>148</v>
      </c>
      <c r="E48" s="6" t="str">
        <f t="shared" si="1"/>
        <v>2021/3/9,</v>
      </c>
      <c r="F48" s="6" t="str">
        <f t="shared" si="2"/>
        <v>2021/3/9,</v>
      </c>
      <c r="G48" s="1" t="s">
        <v>147</v>
      </c>
      <c r="H48" t="str">
        <f t="shared" si="3"/>
        <v>3930</v>
      </c>
      <c r="I48" t="str">
        <f t="shared" si="4"/>
        <v>3</v>
      </c>
      <c r="J48" t="str">
        <f t="shared" si="5"/>
        <v>9</v>
      </c>
      <c r="K48" t="str">
        <f t="shared" si="6"/>
        <v>3</v>
      </c>
      <c r="L48" t="str">
        <f t="shared" si="7"/>
        <v>0</v>
      </c>
      <c r="M48" s="7" t="str">
        <f t="shared" si="8"/>
        <v>47,2021/3/9,3930,3,9,3,0</v>
      </c>
    </row>
    <row r="49" spans="1:13" ht="18" customHeight="1">
      <c r="A49" s="1" t="s">
        <v>149</v>
      </c>
      <c r="B49" s="1" t="s">
        <v>150</v>
      </c>
      <c r="C49" s="1" t="str">
        <f t="shared" si="0"/>
        <v xml:space="preserve">2021年3月10日 </v>
      </c>
      <c r="D49" s="1" t="s">
        <v>151</v>
      </c>
      <c r="E49" s="6" t="str">
        <f t="shared" si="1"/>
        <v>2021/3/10,</v>
      </c>
      <c r="F49" s="6" t="str">
        <f t="shared" si="2"/>
        <v>2021/3/10,</v>
      </c>
      <c r="G49" s="1" t="s">
        <v>150</v>
      </c>
      <c r="H49" t="str">
        <f t="shared" si="3"/>
        <v>2925</v>
      </c>
      <c r="I49" t="str">
        <f t="shared" si="4"/>
        <v>2</v>
      </c>
      <c r="J49" t="str">
        <f t="shared" si="5"/>
        <v>9</v>
      </c>
      <c r="K49" t="str">
        <f t="shared" si="6"/>
        <v>2</v>
      </c>
      <c r="L49" t="str">
        <f t="shared" si="7"/>
        <v>5</v>
      </c>
      <c r="M49" s="7" t="str">
        <f t="shared" si="8"/>
        <v>48,2021/3/10,2925,2,9,2,5</v>
      </c>
    </row>
    <row r="50" spans="1:13" ht="18" customHeight="1">
      <c r="A50" s="1" t="s">
        <v>152</v>
      </c>
      <c r="B50" s="1" t="s">
        <v>153</v>
      </c>
      <c r="C50" s="1" t="str">
        <f t="shared" si="0"/>
        <v xml:space="preserve">2021年3月11日 </v>
      </c>
      <c r="D50" s="1" t="s">
        <v>154</v>
      </c>
      <c r="E50" s="6" t="str">
        <f t="shared" si="1"/>
        <v>2021/3/11,</v>
      </c>
      <c r="F50" s="6" t="str">
        <f t="shared" si="2"/>
        <v>2021/3/11,</v>
      </c>
      <c r="G50" s="1" t="s">
        <v>153</v>
      </c>
      <c r="H50" t="str">
        <f t="shared" si="3"/>
        <v>6030</v>
      </c>
      <c r="I50" t="str">
        <f t="shared" si="4"/>
        <v>6</v>
      </c>
      <c r="J50" t="str">
        <f t="shared" si="5"/>
        <v>0</v>
      </c>
      <c r="K50" t="str">
        <f t="shared" si="6"/>
        <v>3</v>
      </c>
      <c r="L50" t="str">
        <f t="shared" si="7"/>
        <v>0</v>
      </c>
      <c r="M50" s="7" t="str">
        <f t="shared" si="8"/>
        <v>49,2021/3/11,6030,6,0,3,0</v>
      </c>
    </row>
    <row r="51" spans="1:13" ht="18" customHeight="1">
      <c r="A51" s="1" t="s">
        <v>155</v>
      </c>
      <c r="B51" s="1" t="s">
        <v>156</v>
      </c>
      <c r="C51" s="1" t="str">
        <f t="shared" si="0"/>
        <v xml:space="preserve">2021年3月12日 </v>
      </c>
      <c r="D51" s="1" t="s">
        <v>157</v>
      </c>
      <c r="E51" s="6" t="str">
        <f t="shared" si="1"/>
        <v>2021/3/12,</v>
      </c>
      <c r="F51" s="6" t="str">
        <f t="shared" si="2"/>
        <v>2021/3/12,</v>
      </c>
      <c r="G51" s="1" t="s">
        <v>156</v>
      </c>
      <c r="H51" t="str">
        <f t="shared" si="3"/>
        <v>2979</v>
      </c>
      <c r="I51" t="str">
        <f t="shared" si="4"/>
        <v>2</v>
      </c>
      <c r="J51" t="str">
        <f t="shared" si="5"/>
        <v>9</v>
      </c>
      <c r="K51" t="str">
        <f t="shared" si="6"/>
        <v>7</v>
      </c>
      <c r="L51" t="str">
        <f t="shared" si="7"/>
        <v>9</v>
      </c>
      <c r="M51" s="7" t="str">
        <f t="shared" si="8"/>
        <v>50,2021/3/12,2979,2,9,7,9</v>
      </c>
    </row>
    <row r="52" spans="1:13" ht="18" customHeight="1">
      <c r="A52" s="1" t="s">
        <v>158</v>
      </c>
      <c r="B52" s="1" t="s">
        <v>159</v>
      </c>
      <c r="C52" s="1" t="str">
        <f t="shared" si="0"/>
        <v xml:space="preserve">2021年3月15日 </v>
      </c>
      <c r="D52" s="1" t="s">
        <v>160</v>
      </c>
      <c r="E52" s="6" t="str">
        <f t="shared" si="1"/>
        <v>2021/3/15,</v>
      </c>
      <c r="F52" s="6" t="str">
        <f t="shared" si="2"/>
        <v>2021/3/15,</v>
      </c>
      <c r="G52" s="1" t="s">
        <v>159</v>
      </c>
      <c r="H52" t="str">
        <f t="shared" si="3"/>
        <v>3557</v>
      </c>
      <c r="I52" t="str">
        <f t="shared" si="4"/>
        <v>3</v>
      </c>
      <c r="J52" t="str">
        <f t="shared" si="5"/>
        <v>5</v>
      </c>
      <c r="K52" t="str">
        <f t="shared" si="6"/>
        <v>5</v>
      </c>
      <c r="L52" t="str">
        <f t="shared" si="7"/>
        <v>7</v>
      </c>
      <c r="M52" s="7" t="str">
        <f t="shared" si="8"/>
        <v>51,2021/3/15,3557,3,5,5,7</v>
      </c>
    </row>
    <row r="53" spans="1:13" ht="18" customHeight="1">
      <c r="A53" s="1" t="s">
        <v>161</v>
      </c>
      <c r="B53" s="1" t="s">
        <v>162</v>
      </c>
      <c r="C53" s="1" t="str">
        <f t="shared" si="0"/>
        <v xml:space="preserve">2021年3月16日 </v>
      </c>
      <c r="D53" s="1" t="s">
        <v>163</v>
      </c>
      <c r="E53" s="6" t="str">
        <f t="shared" si="1"/>
        <v>2021/3/16,</v>
      </c>
      <c r="F53" s="6" t="str">
        <f t="shared" si="2"/>
        <v>2021/3/16,</v>
      </c>
      <c r="G53" s="1" t="s">
        <v>162</v>
      </c>
      <c r="H53" t="str">
        <f t="shared" si="3"/>
        <v>3853</v>
      </c>
      <c r="I53" t="str">
        <f t="shared" si="4"/>
        <v>3</v>
      </c>
      <c r="J53" t="str">
        <f t="shared" si="5"/>
        <v>8</v>
      </c>
      <c r="K53" t="str">
        <f t="shared" si="6"/>
        <v>5</v>
      </c>
      <c r="L53" t="str">
        <f t="shared" si="7"/>
        <v>3</v>
      </c>
      <c r="M53" s="7" t="str">
        <f t="shared" si="8"/>
        <v>52,2021/3/16,3853,3,8,5,3</v>
      </c>
    </row>
    <row r="54" spans="1:13" ht="18" customHeight="1">
      <c r="A54" s="1" t="s">
        <v>164</v>
      </c>
      <c r="B54" s="1" t="s">
        <v>165</v>
      </c>
      <c r="C54" s="1" t="str">
        <f t="shared" si="0"/>
        <v xml:space="preserve">2021年3月17日 </v>
      </c>
      <c r="D54" s="1" t="s">
        <v>166</v>
      </c>
      <c r="E54" s="6" t="str">
        <f t="shared" si="1"/>
        <v>2021/3/17,</v>
      </c>
      <c r="F54" s="6" t="str">
        <f t="shared" si="2"/>
        <v>2021/3/17,</v>
      </c>
      <c r="G54" s="1" t="s">
        <v>165</v>
      </c>
      <c r="H54" t="str">
        <f t="shared" si="3"/>
        <v>5553</v>
      </c>
      <c r="I54" t="str">
        <f t="shared" si="4"/>
        <v>5</v>
      </c>
      <c r="J54" t="str">
        <f t="shared" si="5"/>
        <v>5</v>
      </c>
      <c r="K54" t="str">
        <f t="shared" si="6"/>
        <v>5</v>
      </c>
      <c r="L54" t="str">
        <f t="shared" si="7"/>
        <v>3</v>
      </c>
      <c r="M54" s="7" t="str">
        <f t="shared" si="8"/>
        <v>53,2021/3/17,5553,5,5,5,3</v>
      </c>
    </row>
    <row r="55" spans="1:13" ht="18" customHeight="1">
      <c r="A55" s="1" t="s">
        <v>167</v>
      </c>
      <c r="B55" s="1" t="s">
        <v>168</v>
      </c>
      <c r="C55" s="1" t="str">
        <f t="shared" si="0"/>
        <v xml:space="preserve">2021年3月18日 </v>
      </c>
      <c r="D55" s="1" t="s">
        <v>169</v>
      </c>
      <c r="E55" s="6" t="str">
        <f t="shared" si="1"/>
        <v>2021/3/18,</v>
      </c>
      <c r="F55" s="6" t="str">
        <f t="shared" si="2"/>
        <v>2021/3/18,</v>
      </c>
      <c r="G55" s="1" t="s">
        <v>168</v>
      </c>
      <c r="H55" t="str">
        <f t="shared" si="3"/>
        <v>7369</v>
      </c>
      <c r="I55" t="str">
        <f t="shared" si="4"/>
        <v>7</v>
      </c>
      <c r="J55" t="str">
        <f t="shared" si="5"/>
        <v>3</v>
      </c>
      <c r="K55" t="str">
        <f t="shared" si="6"/>
        <v>6</v>
      </c>
      <c r="L55" t="str">
        <f t="shared" si="7"/>
        <v>9</v>
      </c>
      <c r="M55" s="7" t="str">
        <f t="shared" si="8"/>
        <v>54,2021/3/18,7369,7,3,6,9</v>
      </c>
    </row>
    <row r="56" spans="1:13" ht="18" customHeight="1">
      <c r="A56" s="1" t="s">
        <v>170</v>
      </c>
      <c r="B56" s="1" t="s">
        <v>171</v>
      </c>
      <c r="C56" s="1" t="str">
        <f t="shared" si="0"/>
        <v xml:space="preserve">2021年3月19日 </v>
      </c>
      <c r="D56" s="1" t="s">
        <v>172</v>
      </c>
      <c r="E56" s="6" t="str">
        <f t="shared" si="1"/>
        <v>2021/3/19,</v>
      </c>
      <c r="F56" s="6" t="str">
        <f t="shared" si="2"/>
        <v>2021/3/19,</v>
      </c>
      <c r="G56" s="1" t="s">
        <v>171</v>
      </c>
      <c r="H56" t="str">
        <f t="shared" si="3"/>
        <v>4167</v>
      </c>
      <c r="I56" t="str">
        <f t="shared" si="4"/>
        <v>4</v>
      </c>
      <c r="J56" t="str">
        <f t="shared" si="5"/>
        <v>1</v>
      </c>
      <c r="K56" t="str">
        <f t="shared" si="6"/>
        <v>6</v>
      </c>
      <c r="L56" t="str">
        <f t="shared" si="7"/>
        <v>7</v>
      </c>
      <c r="M56" s="7" t="str">
        <f t="shared" si="8"/>
        <v>55,2021/3/19,4167,4,1,6,7</v>
      </c>
    </row>
    <row r="57" spans="1:13" ht="18" customHeight="1">
      <c r="A57" s="1" t="s">
        <v>173</v>
      </c>
      <c r="B57" s="1" t="s">
        <v>174</v>
      </c>
      <c r="C57" s="1" t="str">
        <f t="shared" si="0"/>
        <v xml:space="preserve">2021年3月22日 </v>
      </c>
      <c r="D57" s="1" t="s">
        <v>175</v>
      </c>
      <c r="E57" s="6" t="str">
        <f t="shared" si="1"/>
        <v>2021/3/22,</v>
      </c>
      <c r="F57" s="6" t="str">
        <f t="shared" si="2"/>
        <v>2021/3/22,</v>
      </c>
      <c r="G57" s="1" t="s">
        <v>174</v>
      </c>
      <c r="H57" t="str">
        <f t="shared" si="3"/>
        <v>3237</v>
      </c>
      <c r="I57" t="str">
        <f t="shared" si="4"/>
        <v>3</v>
      </c>
      <c r="J57" t="str">
        <f t="shared" si="5"/>
        <v>2</v>
      </c>
      <c r="K57" t="str">
        <f t="shared" si="6"/>
        <v>3</v>
      </c>
      <c r="L57" t="str">
        <f t="shared" si="7"/>
        <v>7</v>
      </c>
      <c r="M57" s="7" t="str">
        <f t="shared" si="8"/>
        <v>56,2021/3/22,3237,3,2,3,7</v>
      </c>
    </row>
    <row r="58" spans="1:13" ht="18" customHeight="1">
      <c r="A58" s="1" t="s">
        <v>176</v>
      </c>
      <c r="B58" s="1" t="s">
        <v>177</v>
      </c>
      <c r="C58" s="1" t="str">
        <f t="shared" si="0"/>
        <v xml:space="preserve">2021年3月23日 </v>
      </c>
      <c r="D58" s="1" t="s">
        <v>178</v>
      </c>
      <c r="E58" s="6" t="str">
        <f t="shared" si="1"/>
        <v>2021/3/23,</v>
      </c>
      <c r="F58" s="6" t="str">
        <f t="shared" si="2"/>
        <v>2021/3/23,</v>
      </c>
      <c r="G58" s="1" t="s">
        <v>177</v>
      </c>
      <c r="H58" t="str">
        <f t="shared" si="3"/>
        <v>2510</v>
      </c>
      <c r="I58" t="str">
        <f t="shared" si="4"/>
        <v>2</v>
      </c>
      <c r="J58" t="str">
        <f t="shared" si="5"/>
        <v>5</v>
      </c>
      <c r="K58" t="str">
        <f t="shared" si="6"/>
        <v>1</v>
      </c>
      <c r="L58" t="str">
        <f t="shared" si="7"/>
        <v>0</v>
      </c>
      <c r="M58" s="7" t="str">
        <f t="shared" si="8"/>
        <v>57,2021/3/23,2510,2,5,1,0</v>
      </c>
    </row>
    <row r="59" spans="1:13" ht="18" customHeight="1">
      <c r="A59" s="1" t="s">
        <v>179</v>
      </c>
      <c r="B59" s="1" t="s">
        <v>180</v>
      </c>
      <c r="C59" s="1" t="str">
        <f t="shared" si="0"/>
        <v xml:space="preserve">2021年3月24日 </v>
      </c>
      <c r="D59" s="1" t="s">
        <v>181</v>
      </c>
      <c r="E59" s="6" t="str">
        <f t="shared" si="1"/>
        <v>2021/3/24,</v>
      </c>
      <c r="F59" s="6" t="str">
        <f t="shared" si="2"/>
        <v>2021/3/24,</v>
      </c>
      <c r="G59" s="1" t="s">
        <v>180</v>
      </c>
      <c r="H59" t="str">
        <f t="shared" si="3"/>
        <v>3193</v>
      </c>
      <c r="I59" t="str">
        <f t="shared" si="4"/>
        <v>3</v>
      </c>
      <c r="J59" t="str">
        <f t="shared" si="5"/>
        <v>1</v>
      </c>
      <c r="K59" t="str">
        <f t="shared" si="6"/>
        <v>9</v>
      </c>
      <c r="L59" t="str">
        <f t="shared" si="7"/>
        <v>3</v>
      </c>
      <c r="M59" s="7" t="str">
        <f t="shared" si="8"/>
        <v>58,2021/3/24,3193,3,1,9,3</v>
      </c>
    </row>
    <row r="60" spans="1:13" ht="18" customHeight="1">
      <c r="A60" s="1" t="s">
        <v>182</v>
      </c>
      <c r="B60" s="1" t="s">
        <v>183</v>
      </c>
      <c r="C60" s="1" t="str">
        <f t="shared" si="0"/>
        <v xml:space="preserve">2021年3月25日 </v>
      </c>
      <c r="D60" s="1" t="s">
        <v>184</v>
      </c>
      <c r="E60" s="6" t="str">
        <f t="shared" si="1"/>
        <v>2021/3/25,</v>
      </c>
      <c r="F60" s="6" t="str">
        <f t="shared" si="2"/>
        <v>2021/3/25,</v>
      </c>
      <c r="G60" s="1" t="s">
        <v>183</v>
      </c>
      <c r="H60" t="str">
        <f t="shared" si="3"/>
        <v>3658</v>
      </c>
      <c r="I60" t="str">
        <f t="shared" si="4"/>
        <v>3</v>
      </c>
      <c r="J60" t="str">
        <f t="shared" si="5"/>
        <v>6</v>
      </c>
      <c r="K60" t="str">
        <f t="shared" si="6"/>
        <v>5</v>
      </c>
      <c r="L60" t="str">
        <f t="shared" si="7"/>
        <v>8</v>
      </c>
      <c r="M60" s="7" t="str">
        <f t="shared" si="8"/>
        <v>59,2021/3/25,3658,3,6,5,8</v>
      </c>
    </row>
    <row r="61" spans="1:13" ht="18" customHeight="1">
      <c r="A61" s="1" t="s">
        <v>185</v>
      </c>
      <c r="B61" s="1" t="s">
        <v>186</v>
      </c>
      <c r="C61" s="1" t="str">
        <f t="shared" si="0"/>
        <v xml:space="preserve">2021年3月26日 </v>
      </c>
      <c r="D61" s="1" t="s">
        <v>187</v>
      </c>
      <c r="E61" s="6" t="str">
        <f t="shared" si="1"/>
        <v>2021/3/26,</v>
      </c>
      <c r="F61" s="6" t="str">
        <f t="shared" si="2"/>
        <v>2021/3/26,</v>
      </c>
      <c r="G61" s="1" t="s">
        <v>186</v>
      </c>
      <c r="H61" t="str">
        <f t="shared" si="3"/>
        <v>8114</v>
      </c>
      <c r="I61" t="str">
        <f t="shared" si="4"/>
        <v>8</v>
      </c>
      <c r="J61" t="str">
        <f t="shared" si="5"/>
        <v>1</v>
      </c>
      <c r="K61" t="str">
        <f t="shared" si="6"/>
        <v>1</v>
      </c>
      <c r="L61" t="str">
        <f t="shared" si="7"/>
        <v>4</v>
      </c>
      <c r="M61" s="7" t="str">
        <f t="shared" si="8"/>
        <v>60,2021/3/26,8114,8,1,1,4</v>
      </c>
    </row>
    <row r="62" spans="1:13" ht="18" customHeight="1">
      <c r="A62" s="1" t="s">
        <v>188</v>
      </c>
      <c r="B62" s="1" t="s">
        <v>189</v>
      </c>
      <c r="C62" s="1" t="str">
        <f t="shared" si="0"/>
        <v xml:space="preserve">2021年3月29日 </v>
      </c>
      <c r="D62" s="1" t="s">
        <v>190</v>
      </c>
      <c r="E62" s="6" t="str">
        <f t="shared" si="1"/>
        <v>2021/3/29,</v>
      </c>
      <c r="F62" s="6" t="str">
        <f t="shared" si="2"/>
        <v>2021/3/29,</v>
      </c>
      <c r="G62" s="1" t="s">
        <v>189</v>
      </c>
      <c r="H62" t="str">
        <f t="shared" si="3"/>
        <v>5681</v>
      </c>
      <c r="I62" t="str">
        <f t="shared" si="4"/>
        <v>5</v>
      </c>
      <c r="J62" t="str">
        <f t="shared" si="5"/>
        <v>6</v>
      </c>
      <c r="K62" t="str">
        <f t="shared" si="6"/>
        <v>8</v>
      </c>
      <c r="L62" t="str">
        <f t="shared" si="7"/>
        <v>1</v>
      </c>
      <c r="M62" s="7" t="str">
        <f t="shared" si="8"/>
        <v>61,2021/3/29,5681,5,6,8,1</v>
      </c>
    </row>
    <row r="63" spans="1:13" ht="18" customHeight="1">
      <c r="A63" s="1" t="s">
        <v>191</v>
      </c>
      <c r="B63" s="1" t="s">
        <v>192</v>
      </c>
      <c r="C63" s="1" t="str">
        <f t="shared" si="0"/>
        <v xml:space="preserve">2021年3月30日 </v>
      </c>
      <c r="D63" s="1" t="s">
        <v>193</v>
      </c>
      <c r="E63" s="6" t="str">
        <f t="shared" si="1"/>
        <v>2021/3/30,</v>
      </c>
      <c r="F63" s="6" t="str">
        <f t="shared" si="2"/>
        <v>2021/3/30,</v>
      </c>
      <c r="G63" s="1" t="s">
        <v>192</v>
      </c>
      <c r="H63" t="str">
        <f t="shared" si="3"/>
        <v>0269</v>
      </c>
      <c r="I63" t="str">
        <f t="shared" si="4"/>
        <v>0</v>
      </c>
      <c r="J63" t="str">
        <f t="shared" si="5"/>
        <v>2</v>
      </c>
      <c r="K63" t="str">
        <f t="shared" si="6"/>
        <v>6</v>
      </c>
      <c r="L63" t="str">
        <f t="shared" si="7"/>
        <v>9</v>
      </c>
      <c r="M63" s="7" t="str">
        <f t="shared" si="8"/>
        <v>62,2021/3/30,0269,0,2,6,9</v>
      </c>
    </row>
    <row r="64" spans="1:13" ht="18" customHeight="1">
      <c r="A64" s="1" t="s">
        <v>194</v>
      </c>
      <c r="B64" s="1" t="s">
        <v>195</v>
      </c>
      <c r="C64" s="1" t="str">
        <f t="shared" si="0"/>
        <v xml:space="preserve">2021年3月31日 </v>
      </c>
      <c r="D64" s="1" t="s">
        <v>196</v>
      </c>
      <c r="E64" s="6" t="str">
        <f t="shared" si="1"/>
        <v>2021/3/31,</v>
      </c>
      <c r="F64" s="6" t="str">
        <f t="shared" si="2"/>
        <v>2021/3/31,</v>
      </c>
      <c r="G64" s="1" t="s">
        <v>195</v>
      </c>
      <c r="H64" t="str">
        <f t="shared" si="3"/>
        <v>9997</v>
      </c>
      <c r="I64" t="str">
        <f t="shared" si="4"/>
        <v>9</v>
      </c>
      <c r="J64" t="str">
        <f t="shared" si="5"/>
        <v>9</v>
      </c>
      <c r="K64" t="str">
        <f t="shared" si="6"/>
        <v>9</v>
      </c>
      <c r="L64" t="str">
        <f t="shared" si="7"/>
        <v>7</v>
      </c>
      <c r="M64" s="7" t="str">
        <f t="shared" si="8"/>
        <v>63,2021/3/31,9997,9,9,9,7</v>
      </c>
    </row>
    <row r="65" spans="1:13" ht="18" customHeight="1">
      <c r="A65" s="1" t="s">
        <v>197</v>
      </c>
      <c r="B65" s="1" t="s">
        <v>198</v>
      </c>
      <c r="C65" s="1" t="str">
        <f t="shared" si="0"/>
        <v>2021年4月1日  </v>
      </c>
      <c r="D65" s="1" t="s">
        <v>199</v>
      </c>
      <c r="E65" s="6" t="str">
        <f t="shared" si="1"/>
        <v>2021/4/1, </v>
      </c>
      <c r="F65" s="6" t="str">
        <f t="shared" si="2"/>
        <v>2021/4/1, </v>
      </c>
      <c r="G65" s="1" t="s">
        <v>198</v>
      </c>
      <c r="H65" t="str">
        <f t="shared" si="3"/>
        <v>6215</v>
      </c>
      <c r="I65" t="str">
        <f t="shared" si="4"/>
        <v>6</v>
      </c>
      <c r="J65" t="str">
        <f t="shared" si="5"/>
        <v>2</v>
      </c>
      <c r="K65" t="str">
        <f t="shared" si="6"/>
        <v>1</v>
      </c>
      <c r="L65" t="str">
        <f t="shared" si="7"/>
        <v>5</v>
      </c>
      <c r="M65" s="7" t="str">
        <f t="shared" si="8"/>
        <v>64,2021/4/1, 6215,6,2,1,5</v>
      </c>
    </row>
    <row r="66" spans="1:13" ht="18" customHeight="1">
      <c r="A66" s="1" t="s">
        <v>200</v>
      </c>
      <c r="B66" s="1" t="s">
        <v>201</v>
      </c>
      <c r="C66" s="1" t="str">
        <f t="shared" si="0"/>
        <v>2021年4月2日  </v>
      </c>
      <c r="D66" s="1" t="s">
        <v>202</v>
      </c>
      <c r="E66" s="6" t="str">
        <f t="shared" si="1"/>
        <v>2021/4/2, </v>
      </c>
      <c r="F66" s="6" t="str">
        <f t="shared" si="2"/>
        <v>2021/4/2, </v>
      </c>
      <c r="G66" s="1" t="s">
        <v>201</v>
      </c>
      <c r="H66" t="str">
        <f t="shared" si="3"/>
        <v>0362</v>
      </c>
      <c r="I66" t="str">
        <f t="shared" si="4"/>
        <v>0</v>
      </c>
      <c r="J66" t="str">
        <f t="shared" si="5"/>
        <v>3</v>
      </c>
      <c r="K66" t="str">
        <f t="shared" si="6"/>
        <v>6</v>
      </c>
      <c r="L66" t="str">
        <f t="shared" si="7"/>
        <v>2</v>
      </c>
      <c r="M66" s="7" t="str">
        <f t="shared" si="8"/>
        <v>65,2021/4/2, 0362,0,3,6,2</v>
      </c>
    </row>
    <row r="67" spans="1:13" ht="18" customHeight="1">
      <c r="A67" s="1" t="s">
        <v>203</v>
      </c>
      <c r="B67" s="1" t="s">
        <v>204</v>
      </c>
      <c r="C67" s="1" t="str">
        <f t="shared" ref="C67:C130" si="9">LEFT(B67,11)</f>
        <v>2021年4月5日  </v>
      </c>
      <c r="D67" s="1" t="s">
        <v>205</v>
      </c>
      <c r="E67" s="6" t="str">
        <f t="shared" ref="E67:E130" si="10">SUBSTITUTE(SUBSTITUTE(D67,"  ",""),"      ","")</f>
        <v>2021/4/5, </v>
      </c>
      <c r="F67" s="6" t="str">
        <f t="shared" ref="F67:F130" si="11">E67</f>
        <v>2021/4/5, </v>
      </c>
      <c r="G67" s="1" t="s">
        <v>204</v>
      </c>
      <c r="H67" t="str">
        <f t="shared" ref="H67:H130" si="12">RIGHT(B67,4)</f>
        <v>0871</v>
      </c>
      <c r="I67" t="str">
        <f t="shared" ref="I67:I130" si="13">LEFT(H67,1)</f>
        <v>0</v>
      </c>
      <c r="J67" t="str">
        <f t="shared" ref="J67:J130" si="14">MID(H67,2,1)</f>
        <v>8</v>
      </c>
      <c r="K67" t="str">
        <f t="shared" ref="K67:K130" si="15">MID(H67,3,1)</f>
        <v>7</v>
      </c>
      <c r="L67" t="str">
        <f t="shared" ref="L67:L130" si="16">RIGHT(H67,1)</f>
        <v>1</v>
      </c>
      <c r="M67" s="7" t="str">
        <f t="shared" ref="M67:M130" si="17">A67&amp;F67&amp;H67&amp;","&amp;I67&amp;","&amp;J67&amp;","&amp;K67&amp;","&amp;L67</f>
        <v>66,2021/4/5, 0871,0,8,7,1</v>
      </c>
    </row>
    <row r="68" spans="1:13" ht="18" customHeight="1">
      <c r="A68" s="1" t="s">
        <v>206</v>
      </c>
      <c r="B68" s="1" t="s">
        <v>207</v>
      </c>
      <c r="C68" s="1" t="str">
        <f t="shared" si="9"/>
        <v>2021年4月6日  </v>
      </c>
      <c r="D68" s="1" t="s">
        <v>208</v>
      </c>
      <c r="E68" s="6" t="str">
        <f t="shared" si="10"/>
        <v>2021/4/6, </v>
      </c>
      <c r="F68" s="6" t="str">
        <f t="shared" si="11"/>
        <v>2021/4/6, </v>
      </c>
      <c r="G68" s="1" t="s">
        <v>207</v>
      </c>
      <c r="H68" t="str">
        <f t="shared" si="12"/>
        <v>2145</v>
      </c>
      <c r="I68" t="str">
        <f t="shared" si="13"/>
        <v>2</v>
      </c>
      <c r="J68" t="str">
        <f t="shared" si="14"/>
        <v>1</v>
      </c>
      <c r="K68" t="str">
        <f t="shared" si="15"/>
        <v>4</v>
      </c>
      <c r="L68" t="str">
        <f t="shared" si="16"/>
        <v>5</v>
      </c>
      <c r="M68" s="7" t="str">
        <f t="shared" si="17"/>
        <v>67,2021/4/6, 2145,2,1,4,5</v>
      </c>
    </row>
    <row r="69" spans="1:13" ht="18" customHeight="1">
      <c r="A69" s="1" t="s">
        <v>209</v>
      </c>
      <c r="B69" s="1" t="s">
        <v>210</v>
      </c>
      <c r="C69" s="1" t="str">
        <f t="shared" si="9"/>
        <v>2021年4月7日  </v>
      </c>
      <c r="D69" s="1" t="s">
        <v>211</v>
      </c>
      <c r="E69" s="6" t="str">
        <f t="shared" si="10"/>
        <v>2021/4/7, </v>
      </c>
      <c r="F69" s="6" t="str">
        <f t="shared" si="11"/>
        <v>2021/4/7, </v>
      </c>
      <c r="G69" s="1" t="s">
        <v>210</v>
      </c>
      <c r="H69" t="str">
        <f t="shared" si="12"/>
        <v>9142</v>
      </c>
      <c r="I69" t="str">
        <f t="shared" si="13"/>
        <v>9</v>
      </c>
      <c r="J69" t="str">
        <f t="shared" si="14"/>
        <v>1</v>
      </c>
      <c r="K69" t="str">
        <f t="shared" si="15"/>
        <v>4</v>
      </c>
      <c r="L69" t="str">
        <f t="shared" si="16"/>
        <v>2</v>
      </c>
      <c r="M69" s="7" t="str">
        <f t="shared" si="17"/>
        <v>68,2021/4/7, 9142,9,1,4,2</v>
      </c>
    </row>
    <row r="70" spans="1:13" ht="18" customHeight="1">
      <c r="A70" s="1" t="s">
        <v>212</v>
      </c>
      <c r="B70" s="1" t="s">
        <v>213</v>
      </c>
      <c r="C70" s="1" t="str">
        <f t="shared" si="9"/>
        <v>2021年4月8日  </v>
      </c>
      <c r="D70" s="1" t="s">
        <v>214</v>
      </c>
      <c r="E70" s="6" t="str">
        <f t="shared" si="10"/>
        <v>2021/4/8, </v>
      </c>
      <c r="F70" s="6" t="str">
        <f t="shared" si="11"/>
        <v>2021/4/8, </v>
      </c>
      <c r="G70" s="1" t="s">
        <v>213</v>
      </c>
      <c r="H70" t="str">
        <f t="shared" si="12"/>
        <v>8505</v>
      </c>
      <c r="I70" t="str">
        <f t="shared" si="13"/>
        <v>8</v>
      </c>
      <c r="J70" t="str">
        <f t="shared" si="14"/>
        <v>5</v>
      </c>
      <c r="K70" t="str">
        <f t="shared" si="15"/>
        <v>0</v>
      </c>
      <c r="L70" t="str">
        <f t="shared" si="16"/>
        <v>5</v>
      </c>
      <c r="M70" s="7" t="str">
        <f t="shared" si="17"/>
        <v>69,2021/4/8, 8505,8,5,0,5</v>
      </c>
    </row>
    <row r="71" spans="1:13" ht="18" customHeight="1">
      <c r="A71" s="1" t="s">
        <v>215</v>
      </c>
      <c r="B71" s="1" t="s">
        <v>216</v>
      </c>
      <c r="C71" s="1" t="str">
        <f t="shared" si="9"/>
        <v>2021年4月9日  </v>
      </c>
      <c r="D71" s="1" t="s">
        <v>217</v>
      </c>
      <c r="E71" s="6" t="str">
        <f t="shared" si="10"/>
        <v>2021/4/9, </v>
      </c>
      <c r="F71" s="6" t="str">
        <f t="shared" si="11"/>
        <v>2021/4/9, </v>
      </c>
      <c r="G71" s="1" t="s">
        <v>216</v>
      </c>
      <c r="H71" t="str">
        <f t="shared" si="12"/>
        <v>3745</v>
      </c>
      <c r="I71" t="str">
        <f t="shared" si="13"/>
        <v>3</v>
      </c>
      <c r="J71" t="str">
        <f t="shared" si="14"/>
        <v>7</v>
      </c>
      <c r="K71" t="str">
        <f t="shared" si="15"/>
        <v>4</v>
      </c>
      <c r="L71" t="str">
        <f t="shared" si="16"/>
        <v>5</v>
      </c>
      <c r="M71" s="7" t="str">
        <f t="shared" si="17"/>
        <v>70,2021/4/9, 3745,3,7,4,5</v>
      </c>
    </row>
    <row r="72" spans="1:13" ht="18" customHeight="1">
      <c r="A72" s="1" t="s">
        <v>218</v>
      </c>
      <c r="B72" s="1" t="s">
        <v>219</v>
      </c>
      <c r="C72" s="1" t="str">
        <f t="shared" si="9"/>
        <v xml:space="preserve">2021年4月12日 </v>
      </c>
      <c r="D72" s="1" t="s">
        <v>220</v>
      </c>
      <c r="E72" s="6" t="str">
        <f t="shared" si="10"/>
        <v>2021/4/12,</v>
      </c>
      <c r="F72" s="6" t="str">
        <f t="shared" si="11"/>
        <v>2021/4/12,</v>
      </c>
      <c r="G72" s="1" t="s">
        <v>219</v>
      </c>
      <c r="H72" t="str">
        <f t="shared" si="12"/>
        <v>2524</v>
      </c>
      <c r="I72" t="str">
        <f t="shared" si="13"/>
        <v>2</v>
      </c>
      <c r="J72" t="str">
        <f t="shared" si="14"/>
        <v>5</v>
      </c>
      <c r="K72" t="str">
        <f t="shared" si="15"/>
        <v>2</v>
      </c>
      <c r="L72" t="str">
        <f t="shared" si="16"/>
        <v>4</v>
      </c>
      <c r="M72" s="7" t="str">
        <f t="shared" si="17"/>
        <v>71,2021/4/12,2524,2,5,2,4</v>
      </c>
    </row>
    <row r="73" spans="1:13" ht="18" customHeight="1">
      <c r="A73" s="1" t="s">
        <v>221</v>
      </c>
      <c r="B73" s="1" t="s">
        <v>222</v>
      </c>
      <c r="C73" s="1" t="str">
        <f t="shared" si="9"/>
        <v xml:space="preserve">2021年4月13日 </v>
      </c>
      <c r="D73" s="1" t="s">
        <v>223</v>
      </c>
      <c r="E73" s="6" t="str">
        <f t="shared" si="10"/>
        <v>2021/4/13,</v>
      </c>
      <c r="F73" s="6" t="str">
        <f t="shared" si="11"/>
        <v>2021/4/13,</v>
      </c>
      <c r="G73" s="1" t="s">
        <v>222</v>
      </c>
      <c r="H73" t="str">
        <f t="shared" si="12"/>
        <v>7330</v>
      </c>
      <c r="I73" t="str">
        <f t="shared" si="13"/>
        <v>7</v>
      </c>
      <c r="J73" t="str">
        <f t="shared" si="14"/>
        <v>3</v>
      </c>
      <c r="K73" t="str">
        <f t="shared" si="15"/>
        <v>3</v>
      </c>
      <c r="L73" t="str">
        <f t="shared" si="16"/>
        <v>0</v>
      </c>
      <c r="M73" s="7" t="str">
        <f t="shared" si="17"/>
        <v>72,2021/4/13,7330,7,3,3,0</v>
      </c>
    </row>
    <row r="74" spans="1:13" ht="18" customHeight="1">
      <c r="A74" s="1" t="s">
        <v>224</v>
      </c>
      <c r="B74" s="1" t="s">
        <v>225</v>
      </c>
      <c r="C74" s="1" t="str">
        <f t="shared" si="9"/>
        <v xml:space="preserve">2021年4月14日 </v>
      </c>
      <c r="D74" s="1" t="s">
        <v>226</v>
      </c>
      <c r="E74" s="6" t="str">
        <f t="shared" si="10"/>
        <v>2021/4/14,</v>
      </c>
      <c r="F74" s="6" t="str">
        <f t="shared" si="11"/>
        <v>2021/4/14,</v>
      </c>
      <c r="G74" s="1" t="s">
        <v>225</v>
      </c>
      <c r="H74" t="str">
        <f t="shared" si="12"/>
        <v>6017</v>
      </c>
      <c r="I74" t="str">
        <f t="shared" si="13"/>
        <v>6</v>
      </c>
      <c r="J74" t="str">
        <f t="shared" si="14"/>
        <v>0</v>
      </c>
      <c r="K74" t="str">
        <f t="shared" si="15"/>
        <v>1</v>
      </c>
      <c r="L74" t="str">
        <f t="shared" si="16"/>
        <v>7</v>
      </c>
      <c r="M74" s="7" t="str">
        <f t="shared" si="17"/>
        <v>73,2021/4/14,6017,6,0,1,7</v>
      </c>
    </row>
    <row r="75" spans="1:13" ht="18" customHeight="1">
      <c r="A75" s="1" t="s">
        <v>227</v>
      </c>
      <c r="B75" s="1" t="s">
        <v>228</v>
      </c>
      <c r="C75" s="1" t="str">
        <f t="shared" si="9"/>
        <v xml:space="preserve">2021年4月15日 </v>
      </c>
      <c r="D75" s="1" t="s">
        <v>229</v>
      </c>
      <c r="E75" s="6" t="str">
        <f t="shared" si="10"/>
        <v>2021/4/15,</v>
      </c>
      <c r="F75" s="6" t="str">
        <f t="shared" si="11"/>
        <v>2021/4/15,</v>
      </c>
      <c r="G75" s="1" t="s">
        <v>228</v>
      </c>
      <c r="H75" t="str">
        <f t="shared" si="12"/>
        <v>2778</v>
      </c>
      <c r="I75" t="str">
        <f t="shared" si="13"/>
        <v>2</v>
      </c>
      <c r="J75" t="str">
        <f t="shared" si="14"/>
        <v>7</v>
      </c>
      <c r="K75" t="str">
        <f t="shared" si="15"/>
        <v>7</v>
      </c>
      <c r="L75" t="str">
        <f t="shared" si="16"/>
        <v>8</v>
      </c>
      <c r="M75" s="7" t="str">
        <f t="shared" si="17"/>
        <v>74,2021/4/15,2778,2,7,7,8</v>
      </c>
    </row>
    <row r="76" spans="1:13" ht="18" customHeight="1">
      <c r="A76" s="1" t="s">
        <v>230</v>
      </c>
      <c r="B76" s="1" t="s">
        <v>231</v>
      </c>
      <c r="C76" s="1" t="str">
        <f t="shared" si="9"/>
        <v xml:space="preserve">2021年4月16日 </v>
      </c>
      <c r="D76" s="1" t="s">
        <v>232</v>
      </c>
      <c r="E76" s="6" t="str">
        <f t="shared" si="10"/>
        <v>2021/4/16,</v>
      </c>
      <c r="F76" s="6" t="str">
        <f t="shared" si="11"/>
        <v>2021/4/16,</v>
      </c>
      <c r="G76" s="1" t="s">
        <v>231</v>
      </c>
      <c r="H76" t="str">
        <f t="shared" si="12"/>
        <v>0788</v>
      </c>
      <c r="I76" t="str">
        <f t="shared" si="13"/>
        <v>0</v>
      </c>
      <c r="J76" t="str">
        <f t="shared" si="14"/>
        <v>7</v>
      </c>
      <c r="K76" t="str">
        <f t="shared" si="15"/>
        <v>8</v>
      </c>
      <c r="L76" t="str">
        <f t="shared" si="16"/>
        <v>8</v>
      </c>
      <c r="M76" s="7" t="str">
        <f t="shared" si="17"/>
        <v>75,2021/4/16,0788,0,7,8,8</v>
      </c>
    </row>
    <row r="77" spans="1:13" ht="18" customHeight="1">
      <c r="A77" s="1" t="s">
        <v>233</v>
      </c>
      <c r="B77" s="1" t="s">
        <v>234</v>
      </c>
      <c r="C77" s="1" t="str">
        <f t="shared" si="9"/>
        <v xml:space="preserve">2021年4月19日 </v>
      </c>
      <c r="D77" s="1" t="s">
        <v>235</v>
      </c>
      <c r="E77" s="6" t="str">
        <f t="shared" si="10"/>
        <v>2021/4/19,</v>
      </c>
      <c r="F77" s="6" t="str">
        <f t="shared" si="11"/>
        <v>2021/4/19,</v>
      </c>
      <c r="G77" s="1" t="s">
        <v>234</v>
      </c>
      <c r="H77" t="str">
        <f t="shared" si="12"/>
        <v>5711</v>
      </c>
      <c r="I77" t="str">
        <f t="shared" si="13"/>
        <v>5</v>
      </c>
      <c r="J77" t="str">
        <f t="shared" si="14"/>
        <v>7</v>
      </c>
      <c r="K77" t="str">
        <f t="shared" si="15"/>
        <v>1</v>
      </c>
      <c r="L77" t="str">
        <f t="shared" si="16"/>
        <v>1</v>
      </c>
      <c r="M77" s="7" t="str">
        <f t="shared" si="17"/>
        <v>76,2021/4/19,5711,5,7,1,1</v>
      </c>
    </row>
    <row r="78" spans="1:13" ht="18" customHeight="1">
      <c r="A78" s="1" t="s">
        <v>236</v>
      </c>
      <c r="B78" s="1" t="s">
        <v>237</v>
      </c>
      <c r="C78" s="1" t="str">
        <f t="shared" si="9"/>
        <v xml:space="preserve">2021年4月20日 </v>
      </c>
      <c r="D78" s="1" t="s">
        <v>238</v>
      </c>
      <c r="E78" s="6" t="str">
        <f t="shared" si="10"/>
        <v>2021/4/20,</v>
      </c>
      <c r="F78" s="6" t="str">
        <f t="shared" si="11"/>
        <v>2021/4/20,</v>
      </c>
      <c r="G78" s="1" t="s">
        <v>237</v>
      </c>
      <c r="H78" t="str">
        <f t="shared" si="12"/>
        <v>5063</v>
      </c>
      <c r="I78" t="str">
        <f t="shared" si="13"/>
        <v>5</v>
      </c>
      <c r="J78" t="str">
        <f t="shared" si="14"/>
        <v>0</v>
      </c>
      <c r="K78" t="str">
        <f t="shared" si="15"/>
        <v>6</v>
      </c>
      <c r="L78" t="str">
        <f t="shared" si="16"/>
        <v>3</v>
      </c>
      <c r="M78" s="7" t="str">
        <f t="shared" si="17"/>
        <v>77,2021/4/20,5063,5,0,6,3</v>
      </c>
    </row>
    <row r="79" spans="1:13" ht="18" customHeight="1">
      <c r="A79" s="1" t="s">
        <v>239</v>
      </c>
      <c r="B79" s="1" t="s">
        <v>240</v>
      </c>
      <c r="C79" s="1" t="str">
        <f t="shared" si="9"/>
        <v xml:space="preserve">2021年4月21日 </v>
      </c>
      <c r="D79" s="1" t="s">
        <v>241</v>
      </c>
      <c r="E79" s="6" t="str">
        <f t="shared" si="10"/>
        <v>2021/4/21,</v>
      </c>
      <c r="F79" s="6" t="str">
        <f t="shared" si="11"/>
        <v>2021/4/21,</v>
      </c>
      <c r="G79" s="1" t="s">
        <v>240</v>
      </c>
      <c r="H79" t="str">
        <f t="shared" si="12"/>
        <v>1798</v>
      </c>
      <c r="I79" t="str">
        <f t="shared" si="13"/>
        <v>1</v>
      </c>
      <c r="J79" t="str">
        <f t="shared" si="14"/>
        <v>7</v>
      </c>
      <c r="K79" t="str">
        <f t="shared" si="15"/>
        <v>9</v>
      </c>
      <c r="L79" t="str">
        <f t="shared" si="16"/>
        <v>8</v>
      </c>
      <c r="M79" s="7" t="str">
        <f t="shared" si="17"/>
        <v>78,2021/4/21,1798,1,7,9,8</v>
      </c>
    </row>
    <row r="80" spans="1:13" ht="18" customHeight="1">
      <c r="A80" s="1" t="s">
        <v>242</v>
      </c>
      <c r="B80" s="1" t="s">
        <v>243</v>
      </c>
      <c r="C80" s="1" t="str">
        <f t="shared" si="9"/>
        <v xml:space="preserve">2021年4月22日 </v>
      </c>
      <c r="D80" s="1" t="s">
        <v>244</v>
      </c>
      <c r="E80" s="6" t="str">
        <f t="shared" si="10"/>
        <v>2021/4/22,</v>
      </c>
      <c r="F80" s="6" t="str">
        <f t="shared" si="11"/>
        <v>2021/4/22,</v>
      </c>
      <c r="G80" s="1" t="s">
        <v>243</v>
      </c>
      <c r="H80" t="str">
        <f t="shared" si="12"/>
        <v>7294</v>
      </c>
      <c r="I80" t="str">
        <f t="shared" si="13"/>
        <v>7</v>
      </c>
      <c r="J80" t="str">
        <f t="shared" si="14"/>
        <v>2</v>
      </c>
      <c r="K80" t="str">
        <f t="shared" si="15"/>
        <v>9</v>
      </c>
      <c r="L80" t="str">
        <f t="shared" si="16"/>
        <v>4</v>
      </c>
      <c r="M80" s="7" t="str">
        <f t="shared" si="17"/>
        <v>79,2021/4/22,7294,7,2,9,4</v>
      </c>
    </row>
    <row r="81" spans="1:13" ht="18" customHeight="1">
      <c r="A81" s="1" t="s">
        <v>245</v>
      </c>
      <c r="B81" s="1" t="s">
        <v>246</v>
      </c>
      <c r="C81" s="1" t="str">
        <f t="shared" si="9"/>
        <v xml:space="preserve">2021年4月23日 </v>
      </c>
      <c r="D81" s="1" t="s">
        <v>247</v>
      </c>
      <c r="E81" s="6" t="str">
        <f t="shared" si="10"/>
        <v>2021/4/23,</v>
      </c>
      <c r="F81" s="6" t="str">
        <f t="shared" si="11"/>
        <v>2021/4/23,</v>
      </c>
      <c r="G81" s="1" t="s">
        <v>246</v>
      </c>
      <c r="H81" t="str">
        <f t="shared" si="12"/>
        <v>9706</v>
      </c>
      <c r="I81" t="str">
        <f t="shared" si="13"/>
        <v>9</v>
      </c>
      <c r="J81" t="str">
        <f t="shared" si="14"/>
        <v>7</v>
      </c>
      <c r="K81" t="str">
        <f t="shared" si="15"/>
        <v>0</v>
      </c>
      <c r="L81" t="str">
        <f t="shared" si="16"/>
        <v>6</v>
      </c>
      <c r="M81" s="7" t="str">
        <f t="shared" si="17"/>
        <v>80,2021/4/23,9706,9,7,0,6</v>
      </c>
    </row>
    <row r="82" spans="1:13" ht="18" customHeight="1">
      <c r="A82" s="1" t="s">
        <v>248</v>
      </c>
      <c r="B82" s="1" t="s">
        <v>249</v>
      </c>
      <c r="C82" s="1" t="str">
        <f t="shared" si="9"/>
        <v xml:space="preserve">2021年4月26日 </v>
      </c>
      <c r="D82" s="1" t="s">
        <v>250</v>
      </c>
      <c r="E82" s="6" t="str">
        <f t="shared" si="10"/>
        <v>2021/4/26,</v>
      </c>
      <c r="F82" s="6" t="str">
        <f t="shared" si="11"/>
        <v>2021/4/26,</v>
      </c>
      <c r="G82" s="1" t="s">
        <v>249</v>
      </c>
      <c r="H82" t="str">
        <f t="shared" si="12"/>
        <v>3793</v>
      </c>
      <c r="I82" t="str">
        <f t="shared" si="13"/>
        <v>3</v>
      </c>
      <c r="J82" t="str">
        <f t="shared" si="14"/>
        <v>7</v>
      </c>
      <c r="K82" t="str">
        <f t="shared" si="15"/>
        <v>9</v>
      </c>
      <c r="L82" t="str">
        <f t="shared" si="16"/>
        <v>3</v>
      </c>
      <c r="M82" s="7" t="str">
        <f t="shared" si="17"/>
        <v>81,2021/4/26,3793,3,7,9,3</v>
      </c>
    </row>
    <row r="83" spans="1:13" ht="18" customHeight="1">
      <c r="A83" s="1" t="s">
        <v>251</v>
      </c>
      <c r="B83" s="1" t="s">
        <v>252</v>
      </c>
      <c r="C83" s="1" t="str">
        <f t="shared" si="9"/>
        <v xml:space="preserve">2021年4月27日 </v>
      </c>
      <c r="D83" s="1" t="s">
        <v>253</v>
      </c>
      <c r="E83" s="6" t="str">
        <f t="shared" si="10"/>
        <v>2021/4/27,</v>
      </c>
      <c r="F83" s="6" t="str">
        <f t="shared" si="11"/>
        <v>2021/4/27,</v>
      </c>
      <c r="G83" s="1" t="s">
        <v>252</v>
      </c>
      <c r="H83" t="str">
        <f t="shared" si="12"/>
        <v>3193</v>
      </c>
      <c r="I83" t="str">
        <f t="shared" si="13"/>
        <v>3</v>
      </c>
      <c r="J83" t="str">
        <f t="shared" si="14"/>
        <v>1</v>
      </c>
      <c r="K83" t="str">
        <f t="shared" si="15"/>
        <v>9</v>
      </c>
      <c r="L83" t="str">
        <f t="shared" si="16"/>
        <v>3</v>
      </c>
      <c r="M83" s="7" t="str">
        <f t="shared" si="17"/>
        <v>82,2021/4/27,3193,3,1,9,3</v>
      </c>
    </row>
    <row r="84" spans="1:13" ht="18" customHeight="1">
      <c r="A84" s="1" t="s">
        <v>254</v>
      </c>
      <c r="B84" s="1" t="s">
        <v>255</v>
      </c>
      <c r="C84" s="1" t="str">
        <f t="shared" si="9"/>
        <v xml:space="preserve">2021年4月28日 </v>
      </c>
      <c r="D84" s="1" t="s">
        <v>256</v>
      </c>
      <c r="E84" s="6" t="str">
        <f t="shared" si="10"/>
        <v>2021/4/28,</v>
      </c>
      <c r="F84" s="6" t="str">
        <f t="shared" si="11"/>
        <v>2021/4/28,</v>
      </c>
      <c r="G84" s="1" t="s">
        <v>255</v>
      </c>
      <c r="H84" t="str">
        <f t="shared" si="12"/>
        <v>2801</v>
      </c>
      <c r="I84" t="str">
        <f t="shared" si="13"/>
        <v>2</v>
      </c>
      <c r="J84" t="str">
        <f t="shared" si="14"/>
        <v>8</v>
      </c>
      <c r="K84" t="str">
        <f t="shared" si="15"/>
        <v>0</v>
      </c>
      <c r="L84" t="str">
        <f t="shared" si="16"/>
        <v>1</v>
      </c>
      <c r="M84" s="7" t="str">
        <f t="shared" si="17"/>
        <v>83,2021/4/28,2801,2,8,0,1</v>
      </c>
    </row>
    <row r="85" spans="1:13" ht="18" customHeight="1">
      <c r="A85" s="1" t="s">
        <v>257</v>
      </c>
      <c r="B85" s="1" t="s">
        <v>258</v>
      </c>
      <c r="C85" s="1" t="str">
        <f t="shared" si="9"/>
        <v xml:space="preserve">2021年4月29日 </v>
      </c>
      <c r="D85" s="1" t="s">
        <v>259</v>
      </c>
      <c r="E85" s="6" t="str">
        <f t="shared" si="10"/>
        <v>2021/4/29,</v>
      </c>
      <c r="F85" s="6" t="str">
        <f t="shared" si="11"/>
        <v>2021/4/29,</v>
      </c>
      <c r="G85" s="1" t="s">
        <v>258</v>
      </c>
      <c r="H85" t="str">
        <f t="shared" si="12"/>
        <v>2307</v>
      </c>
      <c r="I85" t="str">
        <f t="shared" si="13"/>
        <v>2</v>
      </c>
      <c r="J85" t="str">
        <f t="shared" si="14"/>
        <v>3</v>
      </c>
      <c r="K85" t="str">
        <f t="shared" si="15"/>
        <v>0</v>
      </c>
      <c r="L85" t="str">
        <f t="shared" si="16"/>
        <v>7</v>
      </c>
      <c r="M85" s="7" t="str">
        <f t="shared" si="17"/>
        <v>84,2021/4/29,2307,2,3,0,7</v>
      </c>
    </row>
    <row r="86" spans="1:13" ht="18" customHeight="1">
      <c r="A86" s="1" t="s">
        <v>260</v>
      </c>
      <c r="B86" s="1" t="s">
        <v>261</v>
      </c>
      <c r="C86" s="1" t="str">
        <f t="shared" si="9"/>
        <v xml:space="preserve">2021年4月30日 </v>
      </c>
      <c r="D86" s="1" t="s">
        <v>262</v>
      </c>
      <c r="E86" s="6" t="str">
        <f t="shared" si="10"/>
        <v>2021/4/30,</v>
      </c>
      <c r="F86" s="6" t="str">
        <f t="shared" si="11"/>
        <v>2021/4/30,</v>
      </c>
      <c r="G86" s="1" t="s">
        <v>261</v>
      </c>
      <c r="H86" t="str">
        <f t="shared" si="12"/>
        <v>9672</v>
      </c>
      <c r="I86" t="str">
        <f t="shared" si="13"/>
        <v>9</v>
      </c>
      <c r="J86" t="str">
        <f t="shared" si="14"/>
        <v>6</v>
      </c>
      <c r="K86" t="str">
        <f t="shared" si="15"/>
        <v>7</v>
      </c>
      <c r="L86" t="str">
        <f t="shared" si="16"/>
        <v>2</v>
      </c>
      <c r="M86" s="7" t="str">
        <f t="shared" si="17"/>
        <v>85,2021/4/30,9672,9,6,7,2</v>
      </c>
    </row>
    <row r="87" spans="1:13" ht="18" customHeight="1">
      <c r="A87" s="1" t="s">
        <v>263</v>
      </c>
      <c r="B87" s="1" t="s">
        <v>264</v>
      </c>
      <c r="C87" s="1" t="str">
        <f t="shared" si="9"/>
        <v>2021年5月3日  </v>
      </c>
      <c r="D87" s="1" t="s">
        <v>265</v>
      </c>
      <c r="E87" s="6" t="str">
        <f t="shared" si="10"/>
        <v>2021/5/3, </v>
      </c>
      <c r="F87" s="6" t="str">
        <f t="shared" si="11"/>
        <v>2021/5/3, </v>
      </c>
      <c r="G87" s="1" t="s">
        <v>264</v>
      </c>
      <c r="H87" t="str">
        <f t="shared" si="12"/>
        <v>4423</v>
      </c>
      <c r="I87" t="str">
        <f t="shared" si="13"/>
        <v>4</v>
      </c>
      <c r="J87" t="str">
        <f t="shared" si="14"/>
        <v>4</v>
      </c>
      <c r="K87" t="str">
        <f t="shared" si="15"/>
        <v>2</v>
      </c>
      <c r="L87" t="str">
        <f t="shared" si="16"/>
        <v>3</v>
      </c>
      <c r="M87" s="7" t="str">
        <f t="shared" si="17"/>
        <v>86,2021/5/3, 4423,4,4,2,3</v>
      </c>
    </row>
    <row r="88" spans="1:13" ht="18" customHeight="1">
      <c r="A88" s="1" t="s">
        <v>266</v>
      </c>
      <c r="B88" s="1" t="s">
        <v>267</v>
      </c>
      <c r="C88" s="1" t="str">
        <f t="shared" si="9"/>
        <v>2021年5月4日  </v>
      </c>
      <c r="D88" s="1" t="s">
        <v>268</v>
      </c>
      <c r="E88" s="6" t="str">
        <f t="shared" si="10"/>
        <v>2021/5/4, </v>
      </c>
      <c r="F88" s="6" t="str">
        <f t="shared" si="11"/>
        <v>2021/5/4, </v>
      </c>
      <c r="G88" s="1" t="s">
        <v>267</v>
      </c>
      <c r="H88" t="str">
        <f t="shared" si="12"/>
        <v>0388</v>
      </c>
      <c r="I88" t="str">
        <f t="shared" si="13"/>
        <v>0</v>
      </c>
      <c r="J88" t="str">
        <f t="shared" si="14"/>
        <v>3</v>
      </c>
      <c r="K88" t="str">
        <f t="shared" si="15"/>
        <v>8</v>
      </c>
      <c r="L88" t="str">
        <f t="shared" si="16"/>
        <v>8</v>
      </c>
      <c r="M88" s="7" t="str">
        <f t="shared" si="17"/>
        <v>87,2021/5/4, 0388,0,3,8,8</v>
      </c>
    </row>
    <row r="89" spans="1:13" ht="18" customHeight="1">
      <c r="A89" s="1" t="s">
        <v>269</v>
      </c>
      <c r="B89" s="1" t="s">
        <v>270</v>
      </c>
      <c r="C89" s="1" t="str">
        <f t="shared" si="9"/>
        <v>2021年5月5日  </v>
      </c>
      <c r="D89" s="1" t="s">
        <v>271</v>
      </c>
      <c r="E89" s="6" t="str">
        <f t="shared" si="10"/>
        <v>2021/5/5, </v>
      </c>
      <c r="F89" s="6" t="str">
        <f t="shared" si="11"/>
        <v>2021/5/5, </v>
      </c>
      <c r="G89" s="1" t="s">
        <v>270</v>
      </c>
      <c r="H89" t="str">
        <f t="shared" si="12"/>
        <v>6137</v>
      </c>
      <c r="I89" t="str">
        <f t="shared" si="13"/>
        <v>6</v>
      </c>
      <c r="J89" t="str">
        <f t="shared" si="14"/>
        <v>1</v>
      </c>
      <c r="K89" t="str">
        <f t="shared" si="15"/>
        <v>3</v>
      </c>
      <c r="L89" t="str">
        <f t="shared" si="16"/>
        <v>7</v>
      </c>
      <c r="M89" s="7" t="str">
        <f t="shared" si="17"/>
        <v>88,2021/5/5, 6137,6,1,3,7</v>
      </c>
    </row>
    <row r="90" spans="1:13" ht="18" customHeight="1">
      <c r="A90" s="1" t="s">
        <v>272</v>
      </c>
      <c r="B90" s="1" t="s">
        <v>273</v>
      </c>
      <c r="C90" s="1" t="str">
        <f t="shared" si="9"/>
        <v>2021年5月6日  </v>
      </c>
      <c r="D90" s="1" t="s">
        <v>274</v>
      </c>
      <c r="E90" s="6" t="str">
        <f t="shared" si="10"/>
        <v>2021/5/6, </v>
      </c>
      <c r="F90" s="6" t="str">
        <f t="shared" si="11"/>
        <v>2021/5/6, </v>
      </c>
      <c r="G90" s="1" t="s">
        <v>273</v>
      </c>
      <c r="H90" t="str">
        <f t="shared" si="12"/>
        <v>3598</v>
      </c>
      <c r="I90" t="str">
        <f t="shared" si="13"/>
        <v>3</v>
      </c>
      <c r="J90" t="str">
        <f t="shared" si="14"/>
        <v>5</v>
      </c>
      <c r="K90" t="str">
        <f t="shared" si="15"/>
        <v>9</v>
      </c>
      <c r="L90" t="str">
        <f t="shared" si="16"/>
        <v>8</v>
      </c>
      <c r="M90" s="7" t="str">
        <f t="shared" si="17"/>
        <v>89,2021/5/6, 3598,3,5,9,8</v>
      </c>
    </row>
    <row r="91" spans="1:13" ht="18" customHeight="1">
      <c r="A91" s="1" t="s">
        <v>275</v>
      </c>
      <c r="B91" s="1" t="s">
        <v>276</v>
      </c>
      <c r="C91" s="1" t="str">
        <f t="shared" si="9"/>
        <v>2021年5月7日  </v>
      </c>
      <c r="D91" s="1" t="s">
        <v>277</v>
      </c>
      <c r="E91" s="6" t="str">
        <f t="shared" si="10"/>
        <v>2021/5/7, </v>
      </c>
      <c r="F91" s="6" t="str">
        <f t="shared" si="11"/>
        <v>2021/5/7, </v>
      </c>
      <c r="G91" s="1" t="s">
        <v>276</v>
      </c>
      <c r="H91" t="str">
        <f t="shared" si="12"/>
        <v>0982</v>
      </c>
      <c r="I91" t="str">
        <f t="shared" si="13"/>
        <v>0</v>
      </c>
      <c r="J91" t="str">
        <f t="shared" si="14"/>
        <v>9</v>
      </c>
      <c r="K91" t="str">
        <f t="shared" si="15"/>
        <v>8</v>
      </c>
      <c r="L91" t="str">
        <f t="shared" si="16"/>
        <v>2</v>
      </c>
      <c r="M91" s="7" t="str">
        <f t="shared" si="17"/>
        <v>90,2021/5/7, 0982,0,9,8,2</v>
      </c>
    </row>
    <row r="92" spans="1:13" ht="18" customHeight="1">
      <c r="A92" s="1" t="s">
        <v>278</v>
      </c>
      <c r="B92" s="1" t="s">
        <v>279</v>
      </c>
      <c r="C92" s="1" t="str">
        <f t="shared" si="9"/>
        <v xml:space="preserve">2021年5月10日 </v>
      </c>
      <c r="D92" s="1" t="s">
        <v>280</v>
      </c>
      <c r="E92" s="6" t="str">
        <f t="shared" si="10"/>
        <v>2021/5/10,</v>
      </c>
      <c r="F92" s="6" t="str">
        <f t="shared" si="11"/>
        <v>2021/5/10,</v>
      </c>
      <c r="G92" s="1" t="s">
        <v>279</v>
      </c>
      <c r="H92" t="str">
        <f t="shared" si="12"/>
        <v>2788</v>
      </c>
      <c r="I92" t="str">
        <f t="shared" si="13"/>
        <v>2</v>
      </c>
      <c r="J92" t="str">
        <f t="shared" si="14"/>
        <v>7</v>
      </c>
      <c r="K92" t="str">
        <f t="shared" si="15"/>
        <v>8</v>
      </c>
      <c r="L92" t="str">
        <f t="shared" si="16"/>
        <v>8</v>
      </c>
      <c r="M92" s="7" t="str">
        <f t="shared" si="17"/>
        <v>91,2021/5/10,2788,2,7,8,8</v>
      </c>
    </row>
    <row r="93" spans="1:13" ht="18" customHeight="1">
      <c r="A93" s="1" t="s">
        <v>281</v>
      </c>
      <c r="B93" s="1" t="s">
        <v>282</v>
      </c>
      <c r="C93" s="1" t="str">
        <f t="shared" si="9"/>
        <v xml:space="preserve">2021年5月11日 </v>
      </c>
      <c r="D93" s="1" t="s">
        <v>283</v>
      </c>
      <c r="E93" s="6" t="str">
        <f t="shared" si="10"/>
        <v>2021/5/11,</v>
      </c>
      <c r="F93" s="6" t="str">
        <f t="shared" si="11"/>
        <v>2021/5/11,</v>
      </c>
      <c r="G93" s="1" t="s">
        <v>282</v>
      </c>
      <c r="H93" t="str">
        <f t="shared" si="12"/>
        <v>4213</v>
      </c>
      <c r="I93" t="str">
        <f t="shared" si="13"/>
        <v>4</v>
      </c>
      <c r="J93" t="str">
        <f t="shared" si="14"/>
        <v>2</v>
      </c>
      <c r="K93" t="str">
        <f t="shared" si="15"/>
        <v>1</v>
      </c>
      <c r="L93" t="str">
        <f t="shared" si="16"/>
        <v>3</v>
      </c>
      <c r="M93" s="7" t="str">
        <f t="shared" si="17"/>
        <v>92,2021/5/11,4213,4,2,1,3</v>
      </c>
    </row>
    <row r="94" spans="1:13" ht="18" customHeight="1">
      <c r="A94" s="1" t="s">
        <v>284</v>
      </c>
      <c r="B94" s="1" t="s">
        <v>285</v>
      </c>
      <c r="C94" s="1" t="str">
        <f t="shared" si="9"/>
        <v xml:space="preserve">2021年5月12日 </v>
      </c>
      <c r="D94" s="1" t="s">
        <v>286</v>
      </c>
      <c r="E94" s="6" t="str">
        <f t="shared" si="10"/>
        <v>2021/5/12,</v>
      </c>
      <c r="F94" s="6" t="str">
        <f t="shared" si="11"/>
        <v>2021/5/12,</v>
      </c>
      <c r="G94" s="1" t="s">
        <v>285</v>
      </c>
      <c r="H94" t="str">
        <f t="shared" si="12"/>
        <v>1685</v>
      </c>
      <c r="I94" t="str">
        <f t="shared" si="13"/>
        <v>1</v>
      </c>
      <c r="J94" t="str">
        <f t="shared" si="14"/>
        <v>6</v>
      </c>
      <c r="K94" t="str">
        <f t="shared" si="15"/>
        <v>8</v>
      </c>
      <c r="L94" t="str">
        <f t="shared" si="16"/>
        <v>5</v>
      </c>
      <c r="M94" s="7" t="str">
        <f t="shared" si="17"/>
        <v>93,2021/5/12,1685,1,6,8,5</v>
      </c>
    </row>
    <row r="95" spans="1:13" ht="18" customHeight="1">
      <c r="A95" s="1" t="s">
        <v>287</v>
      </c>
      <c r="B95" s="1" t="s">
        <v>288</v>
      </c>
      <c r="C95" s="1" t="str">
        <f t="shared" si="9"/>
        <v xml:space="preserve">2021年5月13日 </v>
      </c>
      <c r="D95" s="1" t="s">
        <v>289</v>
      </c>
      <c r="E95" s="6" t="str">
        <f t="shared" si="10"/>
        <v>2021/5/13,</v>
      </c>
      <c r="F95" s="6" t="str">
        <f t="shared" si="11"/>
        <v>2021/5/13,</v>
      </c>
      <c r="G95" s="1" t="s">
        <v>288</v>
      </c>
      <c r="H95" t="str">
        <f t="shared" si="12"/>
        <v>0448</v>
      </c>
      <c r="I95" t="str">
        <f t="shared" si="13"/>
        <v>0</v>
      </c>
      <c r="J95" t="str">
        <f t="shared" si="14"/>
        <v>4</v>
      </c>
      <c r="K95" t="str">
        <f t="shared" si="15"/>
        <v>4</v>
      </c>
      <c r="L95" t="str">
        <f t="shared" si="16"/>
        <v>8</v>
      </c>
      <c r="M95" s="7" t="str">
        <f t="shared" si="17"/>
        <v>94,2021/5/13,0448,0,4,4,8</v>
      </c>
    </row>
    <row r="96" spans="1:13" ht="18" customHeight="1">
      <c r="A96" s="1" t="s">
        <v>290</v>
      </c>
      <c r="B96" s="1" t="s">
        <v>291</v>
      </c>
      <c r="C96" s="1" t="str">
        <f t="shared" si="9"/>
        <v xml:space="preserve">2021年5月14日 </v>
      </c>
      <c r="D96" s="1" t="s">
        <v>292</v>
      </c>
      <c r="E96" s="6" t="str">
        <f t="shared" si="10"/>
        <v>2021/5/14,</v>
      </c>
      <c r="F96" s="6" t="str">
        <f t="shared" si="11"/>
        <v>2021/5/14,</v>
      </c>
      <c r="G96" s="1" t="s">
        <v>291</v>
      </c>
      <c r="H96" t="str">
        <f t="shared" si="12"/>
        <v>5039</v>
      </c>
      <c r="I96" t="str">
        <f t="shared" si="13"/>
        <v>5</v>
      </c>
      <c r="J96" t="str">
        <f t="shared" si="14"/>
        <v>0</v>
      </c>
      <c r="K96" t="str">
        <f t="shared" si="15"/>
        <v>3</v>
      </c>
      <c r="L96" t="str">
        <f t="shared" si="16"/>
        <v>9</v>
      </c>
      <c r="M96" s="7" t="str">
        <f t="shared" si="17"/>
        <v>95,2021/5/14,5039,5,0,3,9</v>
      </c>
    </row>
    <row r="97" spans="1:13" ht="18" customHeight="1">
      <c r="A97" s="1" t="s">
        <v>293</v>
      </c>
      <c r="B97" s="1" t="s">
        <v>294</v>
      </c>
      <c r="C97" s="1" t="str">
        <f t="shared" si="9"/>
        <v xml:space="preserve">2021年5月17日 </v>
      </c>
      <c r="D97" s="1" t="s">
        <v>295</v>
      </c>
      <c r="E97" s="6" t="str">
        <f t="shared" si="10"/>
        <v>2021/5/17,</v>
      </c>
      <c r="F97" s="6" t="str">
        <f t="shared" si="11"/>
        <v>2021/5/17,</v>
      </c>
      <c r="G97" s="1" t="s">
        <v>294</v>
      </c>
      <c r="H97" t="str">
        <f t="shared" si="12"/>
        <v>1790</v>
      </c>
      <c r="I97" t="str">
        <f t="shared" si="13"/>
        <v>1</v>
      </c>
      <c r="J97" t="str">
        <f t="shared" si="14"/>
        <v>7</v>
      </c>
      <c r="K97" t="str">
        <f t="shared" si="15"/>
        <v>9</v>
      </c>
      <c r="L97" t="str">
        <f t="shared" si="16"/>
        <v>0</v>
      </c>
      <c r="M97" s="7" t="str">
        <f t="shared" si="17"/>
        <v>96,2021/5/17,1790,1,7,9,0</v>
      </c>
    </row>
    <row r="98" spans="1:13" ht="18" customHeight="1">
      <c r="A98" s="1" t="s">
        <v>296</v>
      </c>
      <c r="B98" s="1" t="s">
        <v>297</v>
      </c>
      <c r="C98" s="1" t="str">
        <f t="shared" si="9"/>
        <v xml:space="preserve">2021年5月18日 </v>
      </c>
      <c r="D98" s="1" t="s">
        <v>298</v>
      </c>
      <c r="E98" s="6" t="str">
        <f t="shared" si="10"/>
        <v>2021/5/18,</v>
      </c>
      <c r="F98" s="6" t="str">
        <f t="shared" si="11"/>
        <v>2021/5/18,</v>
      </c>
      <c r="G98" s="1" t="s">
        <v>297</v>
      </c>
      <c r="H98" t="str">
        <f t="shared" si="12"/>
        <v>1482</v>
      </c>
      <c r="I98" t="str">
        <f t="shared" si="13"/>
        <v>1</v>
      </c>
      <c r="J98" t="str">
        <f t="shared" si="14"/>
        <v>4</v>
      </c>
      <c r="K98" t="str">
        <f t="shared" si="15"/>
        <v>8</v>
      </c>
      <c r="L98" t="str">
        <f t="shared" si="16"/>
        <v>2</v>
      </c>
      <c r="M98" s="7" t="str">
        <f t="shared" si="17"/>
        <v>97,2021/5/18,1482,1,4,8,2</v>
      </c>
    </row>
    <row r="99" spans="1:13" ht="18" customHeight="1">
      <c r="A99" s="1" t="s">
        <v>299</v>
      </c>
      <c r="B99" s="1" t="s">
        <v>300</v>
      </c>
      <c r="C99" s="1" t="str">
        <f t="shared" si="9"/>
        <v xml:space="preserve">2021年5月19日 </v>
      </c>
      <c r="D99" s="1" t="s">
        <v>301</v>
      </c>
      <c r="E99" s="6" t="str">
        <f t="shared" si="10"/>
        <v>2021/5/19,</v>
      </c>
      <c r="F99" s="6" t="str">
        <f t="shared" si="11"/>
        <v>2021/5/19,</v>
      </c>
      <c r="G99" s="1" t="s">
        <v>300</v>
      </c>
      <c r="H99" t="str">
        <f t="shared" si="12"/>
        <v>6075</v>
      </c>
      <c r="I99" t="str">
        <f t="shared" si="13"/>
        <v>6</v>
      </c>
      <c r="J99" t="str">
        <f t="shared" si="14"/>
        <v>0</v>
      </c>
      <c r="K99" t="str">
        <f t="shared" si="15"/>
        <v>7</v>
      </c>
      <c r="L99" t="str">
        <f t="shared" si="16"/>
        <v>5</v>
      </c>
      <c r="M99" s="7" t="str">
        <f t="shared" si="17"/>
        <v>98,2021/5/19,6075,6,0,7,5</v>
      </c>
    </row>
    <row r="100" spans="1:13" ht="18" customHeight="1">
      <c r="A100" s="1" t="s">
        <v>302</v>
      </c>
      <c r="B100" s="1" t="s">
        <v>303</v>
      </c>
      <c r="C100" s="1" t="str">
        <f t="shared" si="9"/>
        <v xml:space="preserve">2021年5月20日 </v>
      </c>
      <c r="D100" s="1" t="s">
        <v>304</v>
      </c>
      <c r="E100" s="6" t="str">
        <f t="shared" si="10"/>
        <v>2021/5/20,</v>
      </c>
      <c r="F100" s="6" t="str">
        <f t="shared" si="11"/>
        <v>2021/5/20,</v>
      </c>
      <c r="G100" s="1" t="s">
        <v>303</v>
      </c>
      <c r="H100" t="str">
        <f t="shared" si="12"/>
        <v>5815</v>
      </c>
      <c r="I100" t="str">
        <f t="shared" si="13"/>
        <v>5</v>
      </c>
      <c r="J100" t="str">
        <f t="shared" si="14"/>
        <v>8</v>
      </c>
      <c r="K100" t="str">
        <f t="shared" si="15"/>
        <v>1</v>
      </c>
      <c r="L100" t="str">
        <f t="shared" si="16"/>
        <v>5</v>
      </c>
      <c r="M100" s="7" t="str">
        <f t="shared" si="17"/>
        <v>99,2021/5/20,5815,5,8,1,5</v>
      </c>
    </row>
    <row r="101" spans="1:13" ht="18" customHeight="1">
      <c r="A101" s="1" t="s">
        <v>305</v>
      </c>
      <c r="B101" s="1" t="s">
        <v>306</v>
      </c>
      <c r="C101" s="1" t="str">
        <f t="shared" si="9"/>
        <v xml:space="preserve">2021年5月21日 </v>
      </c>
      <c r="D101" s="1" t="s">
        <v>307</v>
      </c>
      <c r="E101" s="6" t="str">
        <f t="shared" si="10"/>
        <v>2021/5/21,</v>
      </c>
      <c r="F101" s="6" t="str">
        <f t="shared" si="11"/>
        <v>2021/5/21,</v>
      </c>
      <c r="G101" s="1" t="s">
        <v>306</v>
      </c>
      <c r="H101" t="str">
        <f t="shared" si="12"/>
        <v>0099</v>
      </c>
      <c r="I101" t="str">
        <f t="shared" si="13"/>
        <v>0</v>
      </c>
      <c r="J101" t="str">
        <f t="shared" si="14"/>
        <v>0</v>
      </c>
      <c r="K101" t="str">
        <f t="shared" si="15"/>
        <v>9</v>
      </c>
      <c r="L101" t="str">
        <f t="shared" si="16"/>
        <v>9</v>
      </c>
      <c r="M101" s="7" t="str">
        <f t="shared" si="17"/>
        <v>100,2021/5/21,0099,0,0,9,9</v>
      </c>
    </row>
    <row r="102" spans="1:13" ht="18" customHeight="1">
      <c r="A102" s="1" t="s">
        <v>308</v>
      </c>
      <c r="B102" s="1" t="s">
        <v>309</v>
      </c>
      <c r="C102" s="1" t="str">
        <f t="shared" si="9"/>
        <v xml:space="preserve">2021年5月24日 </v>
      </c>
      <c r="D102" s="1" t="s">
        <v>310</v>
      </c>
      <c r="E102" s="6" t="str">
        <f t="shared" si="10"/>
        <v>2021/5/24,</v>
      </c>
      <c r="F102" s="6" t="str">
        <f t="shared" si="11"/>
        <v>2021/5/24,</v>
      </c>
      <c r="G102" s="1" t="s">
        <v>309</v>
      </c>
      <c r="H102" t="str">
        <f t="shared" si="12"/>
        <v>2734</v>
      </c>
      <c r="I102" t="str">
        <f t="shared" si="13"/>
        <v>2</v>
      </c>
      <c r="J102" t="str">
        <f t="shared" si="14"/>
        <v>7</v>
      </c>
      <c r="K102" t="str">
        <f t="shared" si="15"/>
        <v>3</v>
      </c>
      <c r="L102" t="str">
        <f t="shared" si="16"/>
        <v>4</v>
      </c>
      <c r="M102" s="7" t="str">
        <f t="shared" si="17"/>
        <v>101,2021/5/24,2734,2,7,3,4</v>
      </c>
    </row>
    <row r="103" spans="1:13" ht="18" customHeight="1">
      <c r="A103" s="1" t="s">
        <v>311</v>
      </c>
      <c r="B103" s="1" t="s">
        <v>312</v>
      </c>
      <c r="C103" s="1" t="str">
        <f t="shared" si="9"/>
        <v xml:space="preserve">2021年5月25日 </v>
      </c>
      <c r="D103" s="1" t="s">
        <v>313</v>
      </c>
      <c r="E103" s="6" t="str">
        <f t="shared" si="10"/>
        <v>2021/5/25,</v>
      </c>
      <c r="F103" s="6" t="str">
        <f t="shared" si="11"/>
        <v>2021/5/25,</v>
      </c>
      <c r="G103" s="1" t="s">
        <v>312</v>
      </c>
      <c r="H103" t="str">
        <f t="shared" si="12"/>
        <v>5941</v>
      </c>
      <c r="I103" t="str">
        <f t="shared" si="13"/>
        <v>5</v>
      </c>
      <c r="J103" t="str">
        <f t="shared" si="14"/>
        <v>9</v>
      </c>
      <c r="K103" t="str">
        <f t="shared" si="15"/>
        <v>4</v>
      </c>
      <c r="L103" t="str">
        <f t="shared" si="16"/>
        <v>1</v>
      </c>
      <c r="M103" s="7" t="str">
        <f t="shared" si="17"/>
        <v>102,2021/5/25,5941,5,9,4,1</v>
      </c>
    </row>
    <row r="104" spans="1:13" ht="18" customHeight="1">
      <c r="A104" s="1" t="s">
        <v>314</v>
      </c>
      <c r="B104" s="1" t="s">
        <v>315</v>
      </c>
      <c r="C104" s="1" t="str">
        <f t="shared" si="9"/>
        <v xml:space="preserve">2021年5月26日 </v>
      </c>
      <c r="D104" s="1" t="s">
        <v>316</v>
      </c>
      <c r="E104" s="6" t="str">
        <f t="shared" si="10"/>
        <v>2021/5/26,</v>
      </c>
      <c r="F104" s="6" t="str">
        <f t="shared" si="11"/>
        <v>2021/5/26,</v>
      </c>
      <c r="G104" s="1" t="s">
        <v>315</v>
      </c>
      <c r="H104" t="str">
        <f t="shared" si="12"/>
        <v>1082</v>
      </c>
      <c r="I104" t="str">
        <f t="shared" si="13"/>
        <v>1</v>
      </c>
      <c r="J104" t="str">
        <f t="shared" si="14"/>
        <v>0</v>
      </c>
      <c r="K104" t="str">
        <f t="shared" si="15"/>
        <v>8</v>
      </c>
      <c r="L104" t="str">
        <f t="shared" si="16"/>
        <v>2</v>
      </c>
      <c r="M104" s="7" t="str">
        <f t="shared" si="17"/>
        <v>103,2021/5/26,1082,1,0,8,2</v>
      </c>
    </row>
    <row r="105" spans="1:13" ht="18" customHeight="1">
      <c r="A105" s="1" t="s">
        <v>317</v>
      </c>
      <c r="B105" s="1" t="s">
        <v>318</v>
      </c>
      <c r="C105" s="1" t="str">
        <f t="shared" si="9"/>
        <v xml:space="preserve">2021年5月27日 </v>
      </c>
      <c r="D105" s="1" t="s">
        <v>319</v>
      </c>
      <c r="E105" s="6" t="str">
        <f t="shared" si="10"/>
        <v>2021/5/27,</v>
      </c>
      <c r="F105" s="6" t="str">
        <f t="shared" si="11"/>
        <v>2021/5/27,</v>
      </c>
      <c r="G105" s="1" t="s">
        <v>318</v>
      </c>
      <c r="H105" t="str">
        <f t="shared" si="12"/>
        <v>0824</v>
      </c>
      <c r="I105" t="str">
        <f t="shared" si="13"/>
        <v>0</v>
      </c>
      <c r="J105" t="str">
        <f t="shared" si="14"/>
        <v>8</v>
      </c>
      <c r="K105" t="str">
        <f t="shared" si="15"/>
        <v>2</v>
      </c>
      <c r="L105" t="str">
        <f t="shared" si="16"/>
        <v>4</v>
      </c>
      <c r="M105" s="7" t="str">
        <f t="shared" si="17"/>
        <v>104,2021/5/27,0824,0,8,2,4</v>
      </c>
    </row>
    <row r="106" spans="1:13" ht="18" customHeight="1">
      <c r="A106" s="1" t="s">
        <v>320</v>
      </c>
      <c r="B106" s="1" t="s">
        <v>321</v>
      </c>
      <c r="C106" s="1" t="str">
        <f t="shared" si="9"/>
        <v xml:space="preserve">2021年5月28日 </v>
      </c>
      <c r="D106" s="1" t="s">
        <v>322</v>
      </c>
      <c r="E106" s="6" t="str">
        <f t="shared" si="10"/>
        <v>2021/5/28,</v>
      </c>
      <c r="F106" s="6" t="str">
        <f t="shared" si="11"/>
        <v>2021/5/28,</v>
      </c>
      <c r="G106" s="1" t="s">
        <v>321</v>
      </c>
      <c r="H106" t="str">
        <f t="shared" si="12"/>
        <v>7368</v>
      </c>
      <c r="I106" t="str">
        <f t="shared" si="13"/>
        <v>7</v>
      </c>
      <c r="J106" t="str">
        <f t="shared" si="14"/>
        <v>3</v>
      </c>
      <c r="K106" t="str">
        <f t="shared" si="15"/>
        <v>6</v>
      </c>
      <c r="L106" t="str">
        <f t="shared" si="16"/>
        <v>8</v>
      </c>
      <c r="M106" s="7" t="str">
        <f t="shared" si="17"/>
        <v>105,2021/5/28,7368,7,3,6,8</v>
      </c>
    </row>
    <row r="107" spans="1:13" ht="18" customHeight="1">
      <c r="A107" s="1" t="s">
        <v>323</v>
      </c>
      <c r="B107" s="1" t="s">
        <v>324</v>
      </c>
      <c r="C107" s="1" t="str">
        <f t="shared" si="9"/>
        <v xml:space="preserve">2021年5月31日 </v>
      </c>
      <c r="D107" s="1" t="s">
        <v>325</v>
      </c>
      <c r="E107" s="6" t="str">
        <f t="shared" si="10"/>
        <v>2021/5/31,</v>
      </c>
      <c r="F107" s="6" t="str">
        <f t="shared" si="11"/>
        <v>2021/5/31,</v>
      </c>
      <c r="G107" s="1" t="s">
        <v>324</v>
      </c>
      <c r="H107" t="str">
        <f t="shared" si="12"/>
        <v>5783</v>
      </c>
      <c r="I107" t="str">
        <f t="shared" si="13"/>
        <v>5</v>
      </c>
      <c r="J107" t="str">
        <f t="shared" si="14"/>
        <v>7</v>
      </c>
      <c r="K107" t="str">
        <f t="shared" si="15"/>
        <v>8</v>
      </c>
      <c r="L107" t="str">
        <f t="shared" si="16"/>
        <v>3</v>
      </c>
      <c r="M107" s="7" t="str">
        <f t="shared" si="17"/>
        <v>106,2021/5/31,5783,5,7,8,3</v>
      </c>
    </row>
    <row r="108" spans="1:13" ht="18" customHeight="1">
      <c r="A108" s="1" t="s">
        <v>326</v>
      </c>
      <c r="B108" s="1" t="s">
        <v>327</v>
      </c>
      <c r="C108" s="1" t="str">
        <f t="shared" si="9"/>
        <v>2021年6月1日  </v>
      </c>
      <c r="D108" s="1" t="s">
        <v>328</v>
      </c>
      <c r="E108" s="6" t="str">
        <f t="shared" si="10"/>
        <v>2021/6/1, </v>
      </c>
      <c r="F108" s="6" t="str">
        <f t="shared" si="11"/>
        <v>2021/6/1, </v>
      </c>
      <c r="G108" s="1" t="s">
        <v>327</v>
      </c>
      <c r="H108" t="str">
        <f t="shared" si="12"/>
        <v>9087</v>
      </c>
      <c r="I108" t="str">
        <f t="shared" si="13"/>
        <v>9</v>
      </c>
      <c r="J108" t="str">
        <f t="shared" si="14"/>
        <v>0</v>
      </c>
      <c r="K108" t="str">
        <f t="shared" si="15"/>
        <v>8</v>
      </c>
      <c r="L108" t="str">
        <f t="shared" si="16"/>
        <v>7</v>
      </c>
      <c r="M108" s="7" t="str">
        <f t="shared" si="17"/>
        <v>107,2021/6/1, 9087,9,0,8,7</v>
      </c>
    </row>
    <row r="109" spans="1:13" ht="18" customHeight="1">
      <c r="A109" s="1" t="s">
        <v>329</v>
      </c>
      <c r="B109" s="1" t="s">
        <v>330</v>
      </c>
      <c r="C109" s="1" t="str">
        <f t="shared" si="9"/>
        <v>2021年6月2日  </v>
      </c>
      <c r="D109" s="1" t="s">
        <v>331</v>
      </c>
      <c r="E109" s="6" t="str">
        <f t="shared" si="10"/>
        <v>2021/6/2, </v>
      </c>
      <c r="F109" s="6" t="str">
        <f t="shared" si="11"/>
        <v>2021/6/2, </v>
      </c>
      <c r="G109" s="1" t="s">
        <v>330</v>
      </c>
      <c r="H109" t="str">
        <f t="shared" si="12"/>
        <v>1995</v>
      </c>
      <c r="I109" t="str">
        <f t="shared" si="13"/>
        <v>1</v>
      </c>
      <c r="J109" t="str">
        <f t="shared" si="14"/>
        <v>9</v>
      </c>
      <c r="K109" t="str">
        <f t="shared" si="15"/>
        <v>9</v>
      </c>
      <c r="L109" t="str">
        <f t="shared" si="16"/>
        <v>5</v>
      </c>
      <c r="M109" s="7" t="str">
        <f t="shared" si="17"/>
        <v>108,2021/6/2, 1995,1,9,9,5</v>
      </c>
    </row>
    <row r="110" spans="1:13" ht="18" customHeight="1">
      <c r="A110" s="1" t="s">
        <v>332</v>
      </c>
      <c r="B110" s="1" t="s">
        <v>333</v>
      </c>
      <c r="C110" s="1" t="str">
        <f t="shared" si="9"/>
        <v>2021年6月3日  </v>
      </c>
      <c r="D110" s="1" t="s">
        <v>334</v>
      </c>
      <c r="E110" s="6" t="str">
        <f t="shared" si="10"/>
        <v>2021/6/3, </v>
      </c>
      <c r="F110" s="6" t="str">
        <f t="shared" si="11"/>
        <v>2021/6/3, </v>
      </c>
      <c r="G110" s="1" t="s">
        <v>333</v>
      </c>
      <c r="H110" t="str">
        <f t="shared" si="12"/>
        <v>6469</v>
      </c>
      <c r="I110" t="str">
        <f t="shared" si="13"/>
        <v>6</v>
      </c>
      <c r="J110" t="str">
        <f t="shared" si="14"/>
        <v>4</v>
      </c>
      <c r="K110" t="str">
        <f t="shared" si="15"/>
        <v>6</v>
      </c>
      <c r="L110" t="str">
        <f t="shared" si="16"/>
        <v>9</v>
      </c>
      <c r="M110" s="7" t="str">
        <f t="shared" si="17"/>
        <v>109,2021/6/3, 6469,6,4,6,9</v>
      </c>
    </row>
    <row r="111" spans="1:13" ht="18" customHeight="1">
      <c r="A111" s="1" t="s">
        <v>335</v>
      </c>
      <c r="B111" s="1" t="s">
        <v>336</v>
      </c>
      <c r="C111" s="1" t="str">
        <f t="shared" si="9"/>
        <v>2021年6月4日  </v>
      </c>
      <c r="D111" s="1" t="s">
        <v>337</v>
      </c>
      <c r="E111" s="6" t="str">
        <f t="shared" si="10"/>
        <v>2021/6/4, </v>
      </c>
      <c r="F111" s="6" t="str">
        <f t="shared" si="11"/>
        <v>2021/6/4, </v>
      </c>
      <c r="G111" s="1" t="s">
        <v>336</v>
      </c>
      <c r="H111" t="str">
        <f t="shared" si="12"/>
        <v>5198</v>
      </c>
      <c r="I111" t="str">
        <f t="shared" si="13"/>
        <v>5</v>
      </c>
      <c r="J111" t="str">
        <f t="shared" si="14"/>
        <v>1</v>
      </c>
      <c r="K111" t="str">
        <f t="shared" si="15"/>
        <v>9</v>
      </c>
      <c r="L111" t="str">
        <f t="shared" si="16"/>
        <v>8</v>
      </c>
      <c r="M111" s="7" t="str">
        <f t="shared" si="17"/>
        <v>110,2021/6/4, 5198,5,1,9,8</v>
      </c>
    </row>
    <row r="112" spans="1:13" ht="18" customHeight="1">
      <c r="A112" s="1" t="s">
        <v>338</v>
      </c>
      <c r="B112" s="1" t="s">
        <v>339</v>
      </c>
      <c r="C112" s="1" t="str">
        <f t="shared" si="9"/>
        <v>2021年6月7日  </v>
      </c>
      <c r="D112" s="1" t="s">
        <v>340</v>
      </c>
      <c r="E112" s="6" t="str">
        <f t="shared" si="10"/>
        <v>2021/6/7, </v>
      </c>
      <c r="F112" s="6" t="str">
        <f t="shared" si="11"/>
        <v>2021/6/7, </v>
      </c>
      <c r="G112" s="1" t="s">
        <v>339</v>
      </c>
      <c r="H112" t="str">
        <f t="shared" si="12"/>
        <v>2759</v>
      </c>
      <c r="I112" t="str">
        <f t="shared" si="13"/>
        <v>2</v>
      </c>
      <c r="J112" t="str">
        <f t="shared" si="14"/>
        <v>7</v>
      </c>
      <c r="K112" t="str">
        <f t="shared" si="15"/>
        <v>5</v>
      </c>
      <c r="L112" t="str">
        <f t="shared" si="16"/>
        <v>9</v>
      </c>
      <c r="M112" s="7" t="str">
        <f t="shared" si="17"/>
        <v>111,2021/6/7, 2759,2,7,5,9</v>
      </c>
    </row>
    <row r="113" spans="1:13" ht="18" customHeight="1">
      <c r="A113" s="1" t="s">
        <v>341</v>
      </c>
      <c r="B113" s="1" t="s">
        <v>342</v>
      </c>
      <c r="C113" s="1" t="str">
        <f t="shared" si="9"/>
        <v>2021年6月8日  </v>
      </c>
      <c r="D113" s="1" t="s">
        <v>343</v>
      </c>
      <c r="E113" s="6" t="str">
        <f t="shared" si="10"/>
        <v>2021/6/8, </v>
      </c>
      <c r="F113" s="6" t="str">
        <f t="shared" si="11"/>
        <v>2021/6/8, </v>
      </c>
      <c r="G113" s="1" t="s">
        <v>342</v>
      </c>
      <c r="H113" t="str">
        <f t="shared" si="12"/>
        <v>1505</v>
      </c>
      <c r="I113" t="str">
        <f t="shared" si="13"/>
        <v>1</v>
      </c>
      <c r="J113" t="str">
        <f t="shared" si="14"/>
        <v>5</v>
      </c>
      <c r="K113" t="str">
        <f t="shared" si="15"/>
        <v>0</v>
      </c>
      <c r="L113" t="str">
        <f t="shared" si="16"/>
        <v>5</v>
      </c>
      <c r="M113" s="7" t="str">
        <f t="shared" si="17"/>
        <v>112,2021/6/8, 1505,1,5,0,5</v>
      </c>
    </row>
    <row r="114" spans="1:13" ht="18" customHeight="1">
      <c r="A114" s="1" t="s">
        <v>344</v>
      </c>
      <c r="B114" s="1" t="s">
        <v>345</v>
      </c>
      <c r="C114" s="1" t="str">
        <f t="shared" si="9"/>
        <v>2021年6月9日  </v>
      </c>
      <c r="D114" s="1" t="s">
        <v>346</v>
      </c>
      <c r="E114" s="6" t="str">
        <f t="shared" si="10"/>
        <v>2021/6/9, </v>
      </c>
      <c r="F114" s="6" t="str">
        <f t="shared" si="11"/>
        <v>2021/6/9, </v>
      </c>
      <c r="G114" s="1" t="s">
        <v>345</v>
      </c>
      <c r="H114" t="str">
        <f t="shared" si="12"/>
        <v>0625</v>
      </c>
      <c r="I114" t="str">
        <f t="shared" si="13"/>
        <v>0</v>
      </c>
      <c r="J114" t="str">
        <f t="shared" si="14"/>
        <v>6</v>
      </c>
      <c r="K114" t="str">
        <f t="shared" si="15"/>
        <v>2</v>
      </c>
      <c r="L114" t="str">
        <f t="shared" si="16"/>
        <v>5</v>
      </c>
      <c r="M114" s="7" t="str">
        <f t="shared" si="17"/>
        <v>113,2021/6/9, 0625,0,6,2,5</v>
      </c>
    </row>
    <row r="115" spans="1:13" ht="18" customHeight="1">
      <c r="A115" s="1" t="s">
        <v>347</v>
      </c>
      <c r="B115" s="1" t="s">
        <v>348</v>
      </c>
      <c r="C115" s="1" t="str">
        <f t="shared" si="9"/>
        <v xml:space="preserve">2021年6月10日 </v>
      </c>
      <c r="D115" s="1" t="s">
        <v>349</v>
      </c>
      <c r="E115" s="6" t="str">
        <f t="shared" si="10"/>
        <v>2021/6/10,</v>
      </c>
      <c r="F115" s="6" t="str">
        <f t="shared" si="11"/>
        <v>2021/6/10,</v>
      </c>
      <c r="G115" s="1" t="s">
        <v>348</v>
      </c>
      <c r="H115" t="str">
        <f t="shared" si="12"/>
        <v>9232</v>
      </c>
      <c r="I115" t="str">
        <f t="shared" si="13"/>
        <v>9</v>
      </c>
      <c r="J115" t="str">
        <f t="shared" si="14"/>
        <v>2</v>
      </c>
      <c r="K115" t="str">
        <f t="shared" si="15"/>
        <v>3</v>
      </c>
      <c r="L115" t="str">
        <f t="shared" si="16"/>
        <v>2</v>
      </c>
      <c r="M115" s="7" t="str">
        <f t="shared" si="17"/>
        <v>114,2021/6/10,9232,9,2,3,2</v>
      </c>
    </row>
    <row r="116" spans="1:13" ht="18" customHeight="1">
      <c r="A116" s="1" t="s">
        <v>350</v>
      </c>
      <c r="B116" s="1" t="s">
        <v>351</v>
      </c>
      <c r="C116" s="1" t="str">
        <f t="shared" si="9"/>
        <v xml:space="preserve">2021年6月11日 </v>
      </c>
      <c r="D116" s="1" t="s">
        <v>352</v>
      </c>
      <c r="E116" s="6" t="str">
        <f t="shared" si="10"/>
        <v>2021/6/11,</v>
      </c>
      <c r="F116" s="6" t="str">
        <f t="shared" si="11"/>
        <v>2021/6/11,</v>
      </c>
      <c r="G116" s="1" t="s">
        <v>351</v>
      </c>
      <c r="H116" t="str">
        <f t="shared" si="12"/>
        <v>4903</v>
      </c>
      <c r="I116" t="str">
        <f t="shared" si="13"/>
        <v>4</v>
      </c>
      <c r="J116" t="str">
        <f t="shared" si="14"/>
        <v>9</v>
      </c>
      <c r="K116" t="str">
        <f t="shared" si="15"/>
        <v>0</v>
      </c>
      <c r="L116" t="str">
        <f t="shared" si="16"/>
        <v>3</v>
      </c>
      <c r="M116" s="7" t="str">
        <f t="shared" si="17"/>
        <v>115,2021/6/11,4903,4,9,0,3</v>
      </c>
    </row>
    <row r="117" spans="1:13" ht="18" customHeight="1">
      <c r="A117" s="1" t="s">
        <v>353</v>
      </c>
      <c r="B117" s="1" t="s">
        <v>354</v>
      </c>
      <c r="C117" s="1" t="str">
        <f t="shared" si="9"/>
        <v xml:space="preserve">2021年6月14日 </v>
      </c>
      <c r="D117" s="1" t="s">
        <v>355</v>
      </c>
      <c r="E117" s="6" t="str">
        <f t="shared" si="10"/>
        <v>2021/6/14,</v>
      </c>
      <c r="F117" s="6" t="str">
        <f t="shared" si="11"/>
        <v>2021/6/14,</v>
      </c>
      <c r="G117" s="1" t="s">
        <v>354</v>
      </c>
      <c r="H117" t="str">
        <f t="shared" si="12"/>
        <v>6894</v>
      </c>
      <c r="I117" t="str">
        <f t="shared" si="13"/>
        <v>6</v>
      </c>
      <c r="J117" t="str">
        <f t="shared" si="14"/>
        <v>8</v>
      </c>
      <c r="K117" t="str">
        <f t="shared" si="15"/>
        <v>9</v>
      </c>
      <c r="L117" t="str">
        <f t="shared" si="16"/>
        <v>4</v>
      </c>
      <c r="M117" s="7" t="str">
        <f t="shared" si="17"/>
        <v>116,2021/6/14,6894,6,8,9,4</v>
      </c>
    </row>
    <row r="118" spans="1:13" ht="18" customHeight="1">
      <c r="A118" s="1" t="s">
        <v>356</v>
      </c>
      <c r="B118" s="1" t="s">
        <v>357</v>
      </c>
      <c r="C118" s="1" t="str">
        <f t="shared" si="9"/>
        <v xml:space="preserve">2021年6月15日 </v>
      </c>
      <c r="D118" s="1" t="s">
        <v>358</v>
      </c>
      <c r="E118" s="6" t="str">
        <f t="shared" si="10"/>
        <v>2021/6/15,</v>
      </c>
      <c r="F118" s="6" t="str">
        <f t="shared" si="11"/>
        <v>2021/6/15,</v>
      </c>
      <c r="G118" s="1" t="s">
        <v>357</v>
      </c>
      <c r="H118" t="str">
        <f t="shared" si="12"/>
        <v>4730</v>
      </c>
      <c r="I118" t="str">
        <f t="shared" si="13"/>
        <v>4</v>
      </c>
      <c r="J118" t="str">
        <f t="shared" si="14"/>
        <v>7</v>
      </c>
      <c r="K118" t="str">
        <f t="shared" si="15"/>
        <v>3</v>
      </c>
      <c r="L118" t="str">
        <f t="shared" si="16"/>
        <v>0</v>
      </c>
      <c r="M118" s="7" t="str">
        <f t="shared" si="17"/>
        <v>117,2021/6/15,4730,4,7,3,0</v>
      </c>
    </row>
    <row r="119" spans="1:13" ht="18" customHeight="1">
      <c r="A119" s="1" t="s">
        <v>359</v>
      </c>
      <c r="B119" s="1" t="s">
        <v>360</v>
      </c>
      <c r="C119" s="1" t="str">
        <f t="shared" si="9"/>
        <v xml:space="preserve">2021年6月16日 </v>
      </c>
      <c r="D119" s="1" t="s">
        <v>361</v>
      </c>
      <c r="E119" s="6" t="str">
        <f t="shared" si="10"/>
        <v>2021/6/16,</v>
      </c>
      <c r="F119" s="6" t="str">
        <f t="shared" si="11"/>
        <v>2021/6/16,</v>
      </c>
      <c r="G119" s="1" t="s">
        <v>360</v>
      </c>
      <c r="H119" t="str">
        <f t="shared" si="12"/>
        <v>3555</v>
      </c>
      <c r="I119" t="str">
        <f t="shared" si="13"/>
        <v>3</v>
      </c>
      <c r="J119" t="str">
        <f t="shared" si="14"/>
        <v>5</v>
      </c>
      <c r="K119" t="str">
        <f t="shared" si="15"/>
        <v>5</v>
      </c>
      <c r="L119" t="str">
        <f t="shared" si="16"/>
        <v>5</v>
      </c>
      <c r="M119" s="7" t="str">
        <f t="shared" si="17"/>
        <v>118,2021/6/16,3555,3,5,5,5</v>
      </c>
    </row>
    <row r="120" spans="1:13" ht="18" customHeight="1">
      <c r="A120" s="1" t="s">
        <v>362</v>
      </c>
      <c r="B120" s="1" t="s">
        <v>363</v>
      </c>
      <c r="C120" s="1" t="str">
        <f t="shared" si="9"/>
        <v xml:space="preserve">2021年6月17日 </v>
      </c>
      <c r="D120" s="1" t="s">
        <v>364</v>
      </c>
      <c r="E120" s="6" t="str">
        <f t="shared" si="10"/>
        <v>2021/6/17,</v>
      </c>
      <c r="F120" s="6" t="str">
        <f t="shared" si="11"/>
        <v>2021/6/17,</v>
      </c>
      <c r="G120" s="1" t="s">
        <v>363</v>
      </c>
      <c r="H120" t="str">
        <f t="shared" si="12"/>
        <v>6637</v>
      </c>
      <c r="I120" t="str">
        <f t="shared" si="13"/>
        <v>6</v>
      </c>
      <c r="J120" t="str">
        <f t="shared" si="14"/>
        <v>6</v>
      </c>
      <c r="K120" t="str">
        <f t="shared" si="15"/>
        <v>3</v>
      </c>
      <c r="L120" t="str">
        <f t="shared" si="16"/>
        <v>7</v>
      </c>
      <c r="M120" s="7" t="str">
        <f t="shared" si="17"/>
        <v>119,2021/6/17,6637,6,6,3,7</v>
      </c>
    </row>
    <row r="121" spans="1:13" ht="18" customHeight="1">
      <c r="A121" s="1" t="s">
        <v>365</v>
      </c>
      <c r="B121" s="1" t="s">
        <v>366</v>
      </c>
      <c r="C121" s="1" t="str">
        <f t="shared" si="9"/>
        <v xml:space="preserve">2021年6月18日 </v>
      </c>
      <c r="D121" s="1" t="s">
        <v>367</v>
      </c>
      <c r="E121" s="6" t="str">
        <f t="shared" si="10"/>
        <v>2021/6/18,</v>
      </c>
      <c r="F121" s="6" t="str">
        <f t="shared" si="11"/>
        <v>2021/6/18,</v>
      </c>
      <c r="G121" s="1" t="s">
        <v>366</v>
      </c>
      <c r="H121" t="str">
        <f t="shared" si="12"/>
        <v>7158</v>
      </c>
      <c r="I121" t="str">
        <f t="shared" si="13"/>
        <v>7</v>
      </c>
      <c r="J121" t="str">
        <f t="shared" si="14"/>
        <v>1</v>
      </c>
      <c r="K121" t="str">
        <f t="shared" si="15"/>
        <v>5</v>
      </c>
      <c r="L121" t="str">
        <f t="shared" si="16"/>
        <v>8</v>
      </c>
      <c r="M121" s="7" t="str">
        <f t="shared" si="17"/>
        <v>120,2021/6/18,7158,7,1,5,8</v>
      </c>
    </row>
    <row r="122" spans="1:13" ht="18" customHeight="1">
      <c r="A122" s="1" t="s">
        <v>368</v>
      </c>
      <c r="B122" s="1" t="s">
        <v>369</v>
      </c>
      <c r="C122" s="1" t="str">
        <f t="shared" si="9"/>
        <v xml:space="preserve">2021年6月21日 </v>
      </c>
      <c r="D122" s="1" t="s">
        <v>370</v>
      </c>
      <c r="E122" s="6" t="str">
        <f t="shared" si="10"/>
        <v>2021/6/21,</v>
      </c>
      <c r="F122" s="6" t="str">
        <f t="shared" si="11"/>
        <v>2021/6/21,</v>
      </c>
      <c r="G122" s="1" t="s">
        <v>369</v>
      </c>
      <c r="H122" t="str">
        <f t="shared" si="12"/>
        <v>9136</v>
      </c>
      <c r="I122" t="str">
        <f t="shared" si="13"/>
        <v>9</v>
      </c>
      <c r="J122" t="str">
        <f t="shared" si="14"/>
        <v>1</v>
      </c>
      <c r="K122" t="str">
        <f t="shared" si="15"/>
        <v>3</v>
      </c>
      <c r="L122" t="str">
        <f t="shared" si="16"/>
        <v>6</v>
      </c>
      <c r="M122" s="7" t="str">
        <f t="shared" si="17"/>
        <v>121,2021/6/21,9136,9,1,3,6</v>
      </c>
    </row>
    <row r="123" spans="1:13" ht="18" customHeight="1">
      <c r="A123" s="1" t="s">
        <v>371</v>
      </c>
      <c r="B123" s="1" t="s">
        <v>372</v>
      </c>
      <c r="C123" s="1" t="str">
        <f t="shared" si="9"/>
        <v xml:space="preserve">2021年6月22日 </v>
      </c>
      <c r="D123" s="1" t="s">
        <v>373</v>
      </c>
      <c r="E123" s="6" t="str">
        <f t="shared" si="10"/>
        <v>2021/6/22,</v>
      </c>
      <c r="F123" s="6" t="str">
        <f t="shared" si="11"/>
        <v>2021/6/22,</v>
      </c>
      <c r="G123" s="1" t="s">
        <v>372</v>
      </c>
      <c r="H123" t="str">
        <f t="shared" si="12"/>
        <v>0130</v>
      </c>
      <c r="I123" t="str">
        <f t="shared" si="13"/>
        <v>0</v>
      </c>
      <c r="J123" t="str">
        <f t="shared" si="14"/>
        <v>1</v>
      </c>
      <c r="K123" t="str">
        <f t="shared" si="15"/>
        <v>3</v>
      </c>
      <c r="L123" t="str">
        <f t="shared" si="16"/>
        <v>0</v>
      </c>
      <c r="M123" s="7" t="str">
        <f t="shared" si="17"/>
        <v>122,2021/6/22,0130,0,1,3,0</v>
      </c>
    </row>
    <row r="124" spans="1:13" ht="18" customHeight="1">
      <c r="A124" s="1" t="s">
        <v>374</v>
      </c>
      <c r="B124" s="1" t="s">
        <v>375</v>
      </c>
      <c r="C124" s="1" t="str">
        <f t="shared" si="9"/>
        <v xml:space="preserve">2021年6月23日 </v>
      </c>
      <c r="D124" s="1" t="s">
        <v>376</v>
      </c>
      <c r="E124" s="6" t="str">
        <f t="shared" si="10"/>
        <v>2021/6/23,</v>
      </c>
      <c r="F124" s="6" t="str">
        <f t="shared" si="11"/>
        <v>2021/6/23,</v>
      </c>
      <c r="G124" s="1" t="s">
        <v>375</v>
      </c>
      <c r="H124" t="str">
        <f t="shared" si="12"/>
        <v>0892</v>
      </c>
      <c r="I124" t="str">
        <f t="shared" si="13"/>
        <v>0</v>
      </c>
      <c r="J124" t="str">
        <f t="shared" si="14"/>
        <v>8</v>
      </c>
      <c r="K124" t="str">
        <f t="shared" si="15"/>
        <v>9</v>
      </c>
      <c r="L124" t="str">
        <f t="shared" si="16"/>
        <v>2</v>
      </c>
      <c r="M124" s="7" t="str">
        <f t="shared" si="17"/>
        <v>123,2021/6/23,0892,0,8,9,2</v>
      </c>
    </row>
    <row r="125" spans="1:13" ht="18" customHeight="1">
      <c r="A125" s="1" t="s">
        <v>377</v>
      </c>
      <c r="B125" s="1" t="s">
        <v>378</v>
      </c>
      <c r="C125" s="1" t="str">
        <f t="shared" si="9"/>
        <v xml:space="preserve">2021年6月24日 </v>
      </c>
      <c r="D125" s="1" t="s">
        <v>379</v>
      </c>
      <c r="E125" s="6" t="str">
        <f t="shared" si="10"/>
        <v>2021/6/24,</v>
      </c>
      <c r="F125" s="6" t="str">
        <f t="shared" si="11"/>
        <v>2021/6/24,</v>
      </c>
      <c r="G125" s="1" t="s">
        <v>378</v>
      </c>
      <c r="H125" t="str">
        <f t="shared" si="12"/>
        <v>2920</v>
      </c>
      <c r="I125" t="str">
        <f t="shared" si="13"/>
        <v>2</v>
      </c>
      <c r="J125" t="str">
        <f t="shared" si="14"/>
        <v>9</v>
      </c>
      <c r="K125" t="str">
        <f t="shared" si="15"/>
        <v>2</v>
      </c>
      <c r="L125" t="str">
        <f t="shared" si="16"/>
        <v>0</v>
      </c>
      <c r="M125" s="7" t="str">
        <f t="shared" si="17"/>
        <v>124,2021/6/24,2920,2,9,2,0</v>
      </c>
    </row>
    <row r="126" spans="1:13" ht="18" customHeight="1">
      <c r="A126" s="1" t="s">
        <v>380</v>
      </c>
      <c r="B126" s="1" t="s">
        <v>381</v>
      </c>
      <c r="C126" s="1" t="str">
        <f t="shared" si="9"/>
        <v xml:space="preserve">2021年6月25日 </v>
      </c>
      <c r="D126" s="1" t="s">
        <v>382</v>
      </c>
      <c r="E126" s="6" t="str">
        <f t="shared" si="10"/>
        <v>2021/6/25,</v>
      </c>
      <c r="F126" s="6" t="str">
        <f t="shared" si="11"/>
        <v>2021/6/25,</v>
      </c>
      <c r="G126" s="1" t="s">
        <v>381</v>
      </c>
      <c r="H126" t="str">
        <f t="shared" si="12"/>
        <v>2479</v>
      </c>
      <c r="I126" t="str">
        <f t="shared" si="13"/>
        <v>2</v>
      </c>
      <c r="J126" t="str">
        <f t="shared" si="14"/>
        <v>4</v>
      </c>
      <c r="K126" t="str">
        <f t="shared" si="15"/>
        <v>7</v>
      </c>
      <c r="L126" t="str">
        <f t="shared" si="16"/>
        <v>9</v>
      </c>
      <c r="M126" s="7" t="str">
        <f t="shared" si="17"/>
        <v>125,2021/6/25,2479,2,4,7,9</v>
      </c>
    </row>
    <row r="127" spans="1:13" ht="18" customHeight="1">
      <c r="A127" s="1" t="s">
        <v>383</v>
      </c>
      <c r="B127" s="1" t="s">
        <v>384</v>
      </c>
      <c r="C127" s="1" t="str">
        <f t="shared" si="9"/>
        <v xml:space="preserve">2021年6月28日 </v>
      </c>
      <c r="D127" s="1" t="s">
        <v>385</v>
      </c>
      <c r="E127" s="6" t="str">
        <f t="shared" si="10"/>
        <v>2021/6/28,</v>
      </c>
      <c r="F127" s="6" t="str">
        <f t="shared" si="11"/>
        <v>2021/6/28,</v>
      </c>
      <c r="G127" s="1" t="s">
        <v>384</v>
      </c>
      <c r="H127" t="str">
        <f t="shared" si="12"/>
        <v>5047</v>
      </c>
      <c r="I127" t="str">
        <f t="shared" si="13"/>
        <v>5</v>
      </c>
      <c r="J127" t="str">
        <f t="shared" si="14"/>
        <v>0</v>
      </c>
      <c r="K127" t="str">
        <f t="shared" si="15"/>
        <v>4</v>
      </c>
      <c r="L127" t="str">
        <f t="shared" si="16"/>
        <v>7</v>
      </c>
      <c r="M127" s="7" t="str">
        <f t="shared" si="17"/>
        <v>126,2021/6/28,5047,5,0,4,7</v>
      </c>
    </row>
    <row r="128" spans="1:13" ht="18" customHeight="1">
      <c r="A128" s="1" t="s">
        <v>386</v>
      </c>
      <c r="B128" s="1" t="s">
        <v>387</v>
      </c>
      <c r="C128" s="1" t="str">
        <f t="shared" si="9"/>
        <v xml:space="preserve">2021年6月29日 </v>
      </c>
      <c r="D128" s="1" t="s">
        <v>388</v>
      </c>
      <c r="E128" s="6" t="str">
        <f t="shared" si="10"/>
        <v>2021/6/29,</v>
      </c>
      <c r="F128" s="6" t="str">
        <f t="shared" si="11"/>
        <v>2021/6/29,</v>
      </c>
      <c r="G128" s="1" t="s">
        <v>387</v>
      </c>
      <c r="H128" t="str">
        <f t="shared" si="12"/>
        <v>3268</v>
      </c>
      <c r="I128" t="str">
        <f t="shared" si="13"/>
        <v>3</v>
      </c>
      <c r="J128" t="str">
        <f t="shared" si="14"/>
        <v>2</v>
      </c>
      <c r="K128" t="str">
        <f t="shared" si="15"/>
        <v>6</v>
      </c>
      <c r="L128" t="str">
        <f t="shared" si="16"/>
        <v>8</v>
      </c>
      <c r="M128" s="7" t="str">
        <f t="shared" si="17"/>
        <v>127,2021/6/29,3268,3,2,6,8</v>
      </c>
    </row>
    <row r="129" spans="1:13" ht="18" customHeight="1">
      <c r="A129" s="1" t="s">
        <v>389</v>
      </c>
      <c r="B129" s="1" t="s">
        <v>390</v>
      </c>
      <c r="C129" s="1" t="str">
        <f t="shared" si="9"/>
        <v xml:space="preserve">2021年6月30日 </v>
      </c>
      <c r="D129" s="1" t="s">
        <v>391</v>
      </c>
      <c r="E129" s="6" t="str">
        <f t="shared" si="10"/>
        <v>2021/6/30,</v>
      </c>
      <c r="F129" s="6" t="str">
        <f t="shared" si="11"/>
        <v>2021/6/30,</v>
      </c>
      <c r="G129" s="1" t="s">
        <v>390</v>
      </c>
      <c r="H129" t="str">
        <f t="shared" si="12"/>
        <v>1275</v>
      </c>
      <c r="I129" t="str">
        <f t="shared" si="13"/>
        <v>1</v>
      </c>
      <c r="J129" t="str">
        <f t="shared" si="14"/>
        <v>2</v>
      </c>
      <c r="K129" t="str">
        <f t="shared" si="15"/>
        <v>7</v>
      </c>
      <c r="L129" t="str">
        <f t="shared" si="16"/>
        <v>5</v>
      </c>
      <c r="M129" s="7" t="str">
        <f t="shared" si="17"/>
        <v>128,2021/6/30,1275,1,2,7,5</v>
      </c>
    </row>
    <row r="130" spans="1:13" ht="18" customHeight="1">
      <c r="A130" s="1" t="s">
        <v>392</v>
      </c>
      <c r="B130" s="1" t="s">
        <v>393</v>
      </c>
      <c r="C130" s="1" t="str">
        <f t="shared" si="9"/>
        <v>2021年7月1日  </v>
      </c>
      <c r="D130" s="1" t="s">
        <v>394</v>
      </c>
      <c r="E130" s="6" t="str">
        <f t="shared" si="10"/>
        <v>2021/7/1, </v>
      </c>
      <c r="F130" s="6" t="str">
        <f t="shared" si="11"/>
        <v>2021/7/1, </v>
      </c>
      <c r="G130" s="1" t="s">
        <v>393</v>
      </c>
      <c r="H130" t="str">
        <f t="shared" si="12"/>
        <v>8941</v>
      </c>
      <c r="I130" t="str">
        <f t="shared" si="13"/>
        <v>8</v>
      </c>
      <c r="J130" t="str">
        <f t="shared" si="14"/>
        <v>9</v>
      </c>
      <c r="K130" t="str">
        <f t="shared" si="15"/>
        <v>4</v>
      </c>
      <c r="L130" t="str">
        <f t="shared" si="16"/>
        <v>1</v>
      </c>
      <c r="M130" s="7" t="str">
        <f t="shared" si="17"/>
        <v>129,2021/7/1, 8941,8,9,4,1</v>
      </c>
    </row>
    <row r="131" spans="1:13" ht="18" customHeight="1">
      <c r="A131" s="1" t="s">
        <v>395</v>
      </c>
      <c r="B131" s="1" t="s">
        <v>396</v>
      </c>
      <c r="C131" s="1" t="str">
        <f t="shared" ref="C131:C194" si="18">LEFT(B131,11)</f>
        <v>2021年7月2日  </v>
      </c>
      <c r="D131" s="1" t="s">
        <v>397</v>
      </c>
      <c r="E131" s="6" t="str">
        <f t="shared" ref="E131:E194" si="19">SUBSTITUTE(SUBSTITUTE(D131,"  ",""),"      ","")</f>
        <v>2021/7/2, </v>
      </c>
      <c r="F131" s="6" t="str">
        <f t="shared" ref="F131:F194" si="20">E131</f>
        <v>2021/7/2, </v>
      </c>
      <c r="G131" s="1" t="s">
        <v>396</v>
      </c>
      <c r="H131" t="str">
        <f t="shared" ref="H131:H194" si="21">RIGHT(B131,4)</f>
        <v>1382</v>
      </c>
      <c r="I131" t="str">
        <f t="shared" ref="I131:I194" si="22">LEFT(H131,1)</f>
        <v>1</v>
      </c>
      <c r="J131" t="str">
        <f t="shared" ref="J131:J194" si="23">MID(H131,2,1)</f>
        <v>3</v>
      </c>
      <c r="K131" t="str">
        <f t="shared" ref="K131:K194" si="24">MID(H131,3,1)</f>
        <v>8</v>
      </c>
      <c r="L131" t="str">
        <f t="shared" ref="L131:L194" si="25">RIGHT(H131,1)</f>
        <v>2</v>
      </c>
      <c r="M131" s="7" t="str">
        <f t="shared" ref="M131:M194" si="26">A131&amp;F131&amp;H131&amp;","&amp;I131&amp;","&amp;J131&amp;","&amp;K131&amp;","&amp;L131</f>
        <v>130,2021/7/2, 1382,1,3,8,2</v>
      </c>
    </row>
    <row r="132" spans="1:13" ht="18" customHeight="1">
      <c r="A132" s="1" t="s">
        <v>398</v>
      </c>
      <c r="B132" s="1" t="s">
        <v>399</v>
      </c>
      <c r="C132" s="1" t="str">
        <f t="shared" si="18"/>
        <v>2021年7月5日  </v>
      </c>
      <c r="D132" s="1" t="s">
        <v>400</v>
      </c>
      <c r="E132" s="6" t="str">
        <f t="shared" si="19"/>
        <v>2021/7/5, </v>
      </c>
      <c r="F132" s="6" t="str">
        <f t="shared" si="20"/>
        <v>2021/7/5, </v>
      </c>
      <c r="G132" s="1" t="s">
        <v>399</v>
      </c>
      <c r="H132" t="str">
        <f t="shared" si="21"/>
        <v>8819</v>
      </c>
      <c r="I132" t="str">
        <f t="shared" si="22"/>
        <v>8</v>
      </c>
      <c r="J132" t="str">
        <f t="shared" si="23"/>
        <v>8</v>
      </c>
      <c r="K132" t="str">
        <f t="shared" si="24"/>
        <v>1</v>
      </c>
      <c r="L132" t="str">
        <f t="shared" si="25"/>
        <v>9</v>
      </c>
      <c r="M132" s="7" t="str">
        <f t="shared" si="26"/>
        <v>131,2021/7/5, 8819,8,8,1,9</v>
      </c>
    </row>
    <row r="133" spans="1:13" ht="18" customHeight="1">
      <c r="A133" s="1" t="s">
        <v>401</v>
      </c>
      <c r="B133" s="1" t="s">
        <v>402</v>
      </c>
      <c r="C133" s="1" t="str">
        <f t="shared" si="18"/>
        <v>2021年7月6日  </v>
      </c>
      <c r="D133" s="1" t="s">
        <v>403</v>
      </c>
      <c r="E133" s="6" t="str">
        <f t="shared" si="19"/>
        <v>2021/7/6, </v>
      </c>
      <c r="F133" s="6" t="str">
        <f t="shared" si="20"/>
        <v>2021/7/6, </v>
      </c>
      <c r="G133" s="1" t="s">
        <v>402</v>
      </c>
      <c r="H133" t="str">
        <f t="shared" si="21"/>
        <v>3130</v>
      </c>
      <c r="I133" t="str">
        <f t="shared" si="22"/>
        <v>3</v>
      </c>
      <c r="J133" t="str">
        <f t="shared" si="23"/>
        <v>1</v>
      </c>
      <c r="K133" t="str">
        <f t="shared" si="24"/>
        <v>3</v>
      </c>
      <c r="L133" t="str">
        <f t="shared" si="25"/>
        <v>0</v>
      </c>
      <c r="M133" s="7" t="str">
        <f t="shared" si="26"/>
        <v>132,2021/7/6, 3130,3,1,3,0</v>
      </c>
    </row>
    <row r="134" spans="1:13" ht="18" customHeight="1">
      <c r="A134" s="1" t="s">
        <v>404</v>
      </c>
      <c r="B134" s="1" t="s">
        <v>405</v>
      </c>
      <c r="C134" s="1" t="str">
        <f t="shared" si="18"/>
        <v>2021年7月7日  </v>
      </c>
      <c r="D134" s="1" t="s">
        <v>406</v>
      </c>
      <c r="E134" s="6" t="str">
        <f t="shared" si="19"/>
        <v>2021/7/7, </v>
      </c>
      <c r="F134" s="6" t="str">
        <f t="shared" si="20"/>
        <v>2021/7/7, </v>
      </c>
      <c r="G134" s="1" t="s">
        <v>405</v>
      </c>
      <c r="H134" t="str">
        <f t="shared" si="21"/>
        <v>8023</v>
      </c>
      <c r="I134" t="str">
        <f t="shared" si="22"/>
        <v>8</v>
      </c>
      <c r="J134" t="str">
        <f t="shared" si="23"/>
        <v>0</v>
      </c>
      <c r="K134" t="str">
        <f t="shared" si="24"/>
        <v>2</v>
      </c>
      <c r="L134" t="str">
        <f t="shared" si="25"/>
        <v>3</v>
      </c>
      <c r="M134" s="7" t="str">
        <f t="shared" si="26"/>
        <v>133,2021/7/7, 8023,8,0,2,3</v>
      </c>
    </row>
    <row r="135" spans="1:13" ht="18" customHeight="1">
      <c r="A135" s="1" t="s">
        <v>407</v>
      </c>
      <c r="B135" s="1" t="s">
        <v>408</v>
      </c>
      <c r="C135" s="1" t="str">
        <f t="shared" si="18"/>
        <v>2021年7月8日  </v>
      </c>
      <c r="D135" s="1" t="s">
        <v>409</v>
      </c>
      <c r="E135" s="6" t="str">
        <f t="shared" si="19"/>
        <v>2021/7/8, </v>
      </c>
      <c r="F135" s="6" t="str">
        <f t="shared" si="20"/>
        <v>2021/7/8, </v>
      </c>
      <c r="G135" s="1" t="s">
        <v>408</v>
      </c>
      <c r="H135" t="str">
        <f t="shared" si="21"/>
        <v>1903</v>
      </c>
      <c r="I135" t="str">
        <f t="shared" si="22"/>
        <v>1</v>
      </c>
      <c r="J135" t="str">
        <f t="shared" si="23"/>
        <v>9</v>
      </c>
      <c r="K135" t="str">
        <f t="shared" si="24"/>
        <v>0</v>
      </c>
      <c r="L135" t="str">
        <f t="shared" si="25"/>
        <v>3</v>
      </c>
      <c r="M135" s="7" t="str">
        <f t="shared" si="26"/>
        <v>134,2021/7/8, 1903,1,9,0,3</v>
      </c>
    </row>
    <row r="136" spans="1:13" ht="18" customHeight="1">
      <c r="A136" s="1" t="s">
        <v>410</v>
      </c>
      <c r="B136" s="1" t="s">
        <v>411</v>
      </c>
      <c r="C136" s="1" t="str">
        <f t="shared" si="18"/>
        <v>2021年7月9日  </v>
      </c>
      <c r="D136" s="1" t="s">
        <v>412</v>
      </c>
      <c r="E136" s="6" t="str">
        <f t="shared" si="19"/>
        <v>2021/7/9, </v>
      </c>
      <c r="F136" s="6" t="str">
        <f t="shared" si="20"/>
        <v>2021/7/9, </v>
      </c>
      <c r="G136" s="1" t="s">
        <v>411</v>
      </c>
      <c r="H136" t="str">
        <f t="shared" si="21"/>
        <v>1585</v>
      </c>
      <c r="I136" t="str">
        <f t="shared" si="22"/>
        <v>1</v>
      </c>
      <c r="J136" t="str">
        <f t="shared" si="23"/>
        <v>5</v>
      </c>
      <c r="K136" t="str">
        <f t="shared" si="24"/>
        <v>8</v>
      </c>
      <c r="L136" t="str">
        <f t="shared" si="25"/>
        <v>5</v>
      </c>
      <c r="M136" s="7" t="str">
        <f t="shared" si="26"/>
        <v>135,2021/7/9, 1585,1,5,8,5</v>
      </c>
    </row>
    <row r="137" spans="1:13" ht="18" customHeight="1">
      <c r="A137" s="1" t="s">
        <v>413</v>
      </c>
      <c r="B137" s="1" t="s">
        <v>414</v>
      </c>
      <c r="C137" s="1" t="str">
        <f t="shared" si="18"/>
        <v xml:space="preserve">2021年7月12日 </v>
      </c>
      <c r="D137" s="1" t="s">
        <v>415</v>
      </c>
      <c r="E137" s="6" t="str">
        <f t="shared" si="19"/>
        <v>2021/7/12,</v>
      </c>
      <c r="F137" s="6" t="str">
        <f t="shared" si="20"/>
        <v>2021/7/12,</v>
      </c>
      <c r="G137" s="1" t="s">
        <v>414</v>
      </c>
      <c r="H137" t="str">
        <f t="shared" si="21"/>
        <v>6915</v>
      </c>
      <c r="I137" t="str">
        <f t="shared" si="22"/>
        <v>6</v>
      </c>
      <c r="J137" t="str">
        <f t="shared" si="23"/>
        <v>9</v>
      </c>
      <c r="K137" t="str">
        <f t="shared" si="24"/>
        <v>1</v>
      </c>
      <c r="L137" t="str">
        <f t="shared" si="25"/>
        <v>5</v>
      </c>
      <c r="M137" s="7" t="str">
        <f t="shared" si="26"/>
        <v>136,2021/7/12,6915,6,9,1,5</v>
      </c>
    </row>
    <row r="138" spans="1:13" ht="18" customHeight="1">
      <c r="A138" s="1" t="s">
        <v>416</v>
      </c>
      <c r="B138" s="1" t="s">
        <v>417</v>
      </c>
      <c r="C138" s="1" t="str">
        <f t="shared" si="18"/>
        <v xml:space="preserve">2021年7月13日 </v>
      </c>
      <c r="D138" s="1" t="s">
        <v>418</v>
      </c>
      <c r="E138" s="6" t="str">
        <f t="shared" si="19"/>
        <v>2021/7/13,</v>
      </c>
      <c r="F138" s="6" t="str">
        <f t="shared" si="20"/>
        <v>2021/7/13,</v>
      </c>
      <c r="G138" s="1" t="s">
        <v>417</v>
      </c>
      <c r="H138" t="str">
        <f t="shared" si="21"/>
        <v>5211</v>
      </c>
      <c r="I138" t="str">
        <f t="shared" si="22"/>
        <v>5</v>
      </c>
      <c r="J138" t="str">
        <f t="shared" si="23"/>
        <v>2</v>
      </c>
      <c r="K138" t="str">
        <f t="shared" si="24"/>
        <v>1</v>
      </c>
      <c r="L138" t="str">
        <f t="shared" si="25"/>
        <v>1</v>
      </c>
      <c r="M138" s="7" t="str">
        <f t="shared" si="26"/>
        <v>137,2021/7/13,5211,5,2,1,1</v>
      </c>
    </row>
    <row r="139" spans="1:13" ht="18" customHeight="1">
      <c r="A139" s="1" t="s">
        <v>419</v>
      </c>
      <c r="B139" s="1" t="s">
        <v>420</v>
      </c>
      <c r="C139" s="1" t="str">
        <f t="shared" si="18"/>
        <v xml:space="preserve">2021年7月14日 </v>
      </c>
      <c r="D139" s="1" t="s">
        <v>421</v>
      </c>
      <c r="E139" s="6" t="str">
        <f t="shared" si="19"/>
        <v>2021/7/14,</v>
      </c>
      <c r="F139" s="6" t="str">
        <f t="shared" si="20"/>
        <v>2021/7/14,</v>
      </c>
      <c r="G139" s="1" t="s">
        <v>420</v>
      </c>
      <c r="H139" t="str">
        <f t="shared" si="21"/>
        <v>6992</v>
      </c>
      <c r="I139" t="str">
        <f t="shared" si="22"/>
        <v>6</v>
      </c>
      <c r="J139" t="str">
        <f t="shared" si="23"/>
        <v>9</v>
      </c>
      <c r="K139" t="str">
        <f t="shared" si="24"/>
        <v>9</v>
      </c>
      <c r="L139" t="str">
        <f t="shared" si="25"/>
        <v>2</v>
      </c>
      <c r="M139" s="7" t="str">
        <f t="shared" si="26"/>
        <v>138,2021/7/14,6992,6,9,9,2</v>
      </c>
    </row>
    <row r="140" spans="1:13" ht="18" customHeight="1">
      <c r="A140" s="1" t="s">
        <v>422</v>
      </c>
      <c r="B140" s="1" t="s">
        <v>423</v>
      </c>
      <c r="C140" s="1" t="str">
        <f t="shared" si="18"/>
        <v xml:space="preserve">2021年7月15日 </v>
      </c>
      <c r="D140" s="1" t="s">
        <v>424</v>
      </c>
      <c r="E140" s="6" t="str">
        <f t="shared" si="19"/>
        <v>2021/7/15,</v>
      </c>
      <c r="F140" s="6" t="str">
        <f t="shared" si="20"/>
        <v>2021/7/15,</v>
      </c>
      <c r="G140" s="1" t="s">
        <v>423</v>
      </c>
      <c r="H140" t="str">
        <f t="shared" si="21"/>
        <v>0678</v>
      </c>
      <c r="I140" t="str">
        <f t="shared" si="22"/>
        <v>0</v>
      </c>
      <c r="J140" t="str">
        <f t="shared" si="23"/>
        <v>6</v>
      </c>
      <c r="K140" t="str">
        <f t="shared" si="24"/>
        <v>7</v>
      </c>
      <c r="L140" t="str">
        <f t="shared" si="25"/>
        <v>8</v>
      </c>
      <c r="M140" s="7" t="str">
        <f t="shared" si="26"/>
        <v>139,2021/7/15,0678,0,6,7,8</v>
      </c>
    </row>
    <row r="141" spans="1:13" ht="18" customHeight="1">
      <c r="A141" s="1" t="s">
        <v>425</v>
      </c>
      <c r="B141" s="1" t="s">
        <v>426</v>
      </c>
      <c r="C141" s="1" t="str">
        <f t="shared" si="18"/>
        <v xml:space="preserve">2021年7月16日 </v>
      </c>
      <c r="D141" s="1" t="s">
        <v>427</v>
      </c>
      <c r="E141" s="6" t="str">
        <f t="shared" si="19"/>
        <v>2021/7/16,</v>
      </c>
      <c r="F141" s="6" t="str">
        <f t="shared" si="20"/>
        <v>2021/7/16,</v>
      </c>
      <c r="G141" s="1" t="s">
        <v>426</v>
      </c>
      <c r="H141" t="str">
        <f t="shared" si="21"/>
        <v>5104</v>
      </c>
      <c r="I141" t="str">
        <f t="shared" si="22"/>
        <v>5</v>
      </c>
      <c r="J141" t="str">
        <f t="shared" si="23"/>
        <v>1</v>
      </c>
      <c r="K141" t="str">
        <f t="shared" si="24"/>
        <v>0</v>
      </c>
      <c r="L141" t="str">
        <f t="shared" si="25"/>
        <v>4</v>
      </c>
      <c r="M141" s="7" t="str">
        <f t="shared" si="26"/>
        <v>140,2021/7/16,5104,5,1,0,4</v>
      </c>
    </row>
    <row r="142" spans="1:13" ht="18" customHeight="1">
      <c r="A142" s="1" t="s">
        <v>428</v>
      </c>
      <c r="B142" s="1" t="s">
        <v>429</v>
      </c>
      <c r="C142" s="1" t="str">
        <f t="shared" si="18"/>
        <v xml:space="preserve">2021年7月19日 </v>
      </c>
      <c r="D142" s="1" t="s">
        <v>430</v>
      </c>
      <c r="E142" s="6" t="str">
        <f t="shared" si="19"/>
        <v>2021/7/19,</v>
      </c>
      <c r="F142" s="6" t="str">
        <f t="shared" si="20"/>
        <v>2021/7/19,</v>
      </c>
      <c r="G142" s="1" t="s">
        <v>429</v>
      </c>
      <c r="H142" t="str">
        <f t="shared" si="21"/>
        <v>6109</v>
      </c>
      <c r="I142" t="str">
        <f t="shared" si="22"/>
        <v>6</v>
      </c>
      <c r="J142" t="str">
        <f t="shared" si="23"/>
        <v>1</v>
      </c>
      <c r="K142" t="str">
        <f t="shared" si="24"/>
        <v>0</v>
      </c>
      <c r="L142" t="str">
        <f t="shared" si="25"/>
        <v>9</v>
      </c>
      <c r="M142" s="7" t="str">
        <f t="shared" si="26"/>
        <v>141,2021/7/19,6109,6,1,0,9</v>
      </c>
    </row>
    <row r="143" spans="1:13" ht="18" customHeight="1">
      <c r="A143" s="1" t="s">
        <v>431</v>
      </c>
      <c r="B143" s="1" t="s">
        <v>432</v>
      </c>
      <c r="C143" s="1" t="str">
        <f t="shared" si="18"/>
        <v xml:space="preserve">2021年7月20日 </v>
      </c>
      <c r="D143" s="1" t="s">
        <v>433</v>
      </c>
      <c r="E143" s="6" t="str">
        <f t="shared" si="19"/>
        <v>2021/7/20,</v>
      </c>
      <c r="F143" s="6" t="str">
        <f t="shared" si="20"/>
        <v>2021/7/20,</v>
      </c>
      <c r="G143" s="1" t="s">
        <v>432</v>
      </c>
      <c r="H143" t="str">
        <f t="shared" si="21"/>
        <v>5038</v>
      </c>
      <c r="I143" t="str">
        <f t="shared" si="22"/>
        <v>5</v>
      </c>
      <c r="J143" t="str">
        <f t="shared" si="23"/>
        <v>0</v>
      </c>
      <c r="K143" t="str">
        <f t="shared" si="24"/>
        <v>3</v>
      </c>
      <c r="L143" t="str">
        <f t="shared" si="25"/>
        <v>8</v>
      </c>
      <c r="M143" s="7" t="str">
        <f t="shared" si="26"/>
        <v>142,2021/7/20,5038,5,0,3,8</v>
      </c>
    </row>
    <row r="144" spans="1:13" ht="18" customHeight="1">
      <c r="A144" s="1" t="s">
        <v>434</v>
      </c>
      <c r="B144" s="1" t="s">
        <v>435</v>
      </c>
      <c r="C144" s="1" t="str">
        <f t="shared" si="18"/>
        <v xml:space="preserve">2021年7月21日 </v>
      </c>
      <c r="D144" s="1" t="s">
        <v>436</v>
      </c>
      <c r="E144" s="6" t="str">
        <f t="shared" si="19"/>
        <v>2021/7/21,</v>
      </c>
      <c r="F144" s="6" t="str">
        <f t="shared" si="20"/>
        <v>2021/7/21,</v>
      </c>
      <c r="G144" s="1" t="s">
        <v>435</v>
      </c>
      <c r="H144" t="str">
        <f t="shared" si="21"/>
        <v>6438</v>
      </c>
      <c r="I144" t="str">
        <f t="shared" si="22"/>
        <v>6</v>
      </c>
      <c r="J144" t="str">
        <f t="shared" si="23"/>
        <v>4</v>
      </c>
      <c r="K144" t="str">
        <f t="shared" si="24"/>
        <v>3</v>
      </c>
      <c r="L144" t="str">
        <f t="shared" si="25"/>
        <v>8</v>
      </c>
      <c r="M144" s="7" t="str">
        <f t="shared" si="26"/>
        <v>143,2021/7/21,6438,6,4,3,8</v>
      </c>
    </row>
    <row r="145" spans="1:13" ht="18" customHeight="1">
      <c r="A145" s="1" t="s">
        <v>437</v>
      </c>
      <c r="B145" s="1" t="s">
        <v>438</v>
      </c>
      <c r="C145" s="1" t="str">
        <f t="shared" si="18"/>
        <v xml:space="preserve">2021年7月22日 </v>
      </c>
      <c r="D145" s="1" t="s">
        <v>439</v>
      </c>
      <c r="E145" s="6" t="str">
        <f t="shared" si="19"/>
        <v>2021/7/22,</v>
      </c>
      <c r="F145" s="6" t="str">
        <f t="shared" si="20"/>
        <v>2021/7/22,</v>
      </c>
      <c r="G145" s="1" t="s">
        <v>438</v>
      </c>
      <c r="H145" t="str">
        <f t="shared" si="21"/>
        <v>9921</v>
      </c>
      <c r="I145" t="str">
        <f t="shared" si="22"/>
        <v>9</v>
      </c>
      <c r="J145" t="str">
        <f t="shared" si="23"/>
        <v>9</v>
      </c>
      <c r="K145" t="str">
        <f t="shared" si="24"/>
        <v>2</v>
      </c>
      <c r="L145" t="str">
        <f t="shared" si="25"/>
        <v>1</v>
      </c>
      <c r="M145" s="7" t="str">
        <f t="shared" si="26"/>
        <v>144,2021/7/22,9921,9,9,2,1</v>
      </c>
    </row>
    <row r="146" spans="1:13" ht="18" customHeight="1">
      <c r="A146" s="1" t="s">
        <v>440</v>
      </c>
      <c r="B146" s="1" t="s">
        <v>441</v>
      </c>
      <c r="C146" s="1" t="str">
        <f t="shared" si="18"/>
        <v xml:space="preserve">2021年7月23日 </v>
      </c>
      <c r="D146" s="1" t="s">
        <v>442</v>
      </c>
      <c r="E146" s="6" t="str">
        <f t="shared" si="19"/>
        <v>2021/7/23,</v>
      </c>
      <c r="F146" s="6" t="str">
        <f t="shared" si="20"/>
        <v>2021/7/23,</v>
      </c>
      <c r="G146" s="1" t="s">
        <v>441</v>
      </c>
      <c r="H146" t="str">
        <f t="shared" si="21"/>
        <v>1012</v>
      </c>
      <c r="I146" t="str">
        <f t="shared" si="22"/>
        <v>1</v>
      </c>
      <c r="J146" t="str">
        <f t="shared" si="23"/>
        <v>0</v>
      </c>
      <c r="K146" t="str">
        <f t="shared" si="24"/>
        <v>1</v>
      </c>
      <c r="L146" t="str">
        <f t="shared" si="25"/>
        <v>2</v>
      </c>
      <c r="M146" s="7" t="str">
        <f t="shared" si="26"/>
        <v>145,2021/7/23,1012,1,0,1,2</v>
      </c>
    </row>
    <row r="147" spans="1:13" ht="18" customHeight="1">
      <c r="A147" s="1" t="s">
        <v>443</v>
      </c>
      <c r="B147" s="1" t="s">
        <v>444</v>
      </c>
      <c r="C147" s="1" t="str">
        <f t="shared" si="18"/>
        <v xml:space="preserve">2021年7月26日 </v>
      </c>
      <c r="D147" s="1" t="s">
        <v>445</v>
      </c>
      <c r="E147" s="6" t="str">
        <f t="shared" si="19"/>
        <v>2021/7/26,</v>
      </c>
      <c r="F147" s="6" t="str">
        <f t="shared" si="20"/>
        <v>2021/7/26,</v>
      </c>
      <c r="G147" s="1" t="s">
        <v>444</v>
      </c>
      <c r="H147" t="str">
        <f t="shared" si="21"/>
        <v>4594</v>
      </c>
      <c r="I147" t="str">
        <f t="shared" si="22"/>
        <v>4</v>
      </c>
      <c r="J147" t="str">
        <f t="shared" si="23"/>
        <v>5</v>
      </c>
      <c r="K147" t="str">
        <f t="shared" si="24"/>
        <v>9</v>
      </c>
      <c r="L147" t="str">
        <f t="shared" si="25"/>
        <v>4</v>
      </c>
      <c r="M147" s="7" t="str">
        <f t="shared" si="26"/>
        <v>146,2021/7/26,4594,4,5,9,4</v>
      </c>
    </row>
    <row r="148" spans="1:13" ht="18" customHeight="1">
      <c r="A148" s="1" t="s">
        <v>446</v>
      </c>
      <c r="B148" s="1" t="s">
        <v>447</v>
      </c>
      <c r="C148" s="1" t="str">
        <f t="shared" si="18"/>
        <v xml:space="preserve">2021年7月27日 </v>
      </c>
      <c r="D148" s="1" t="s">
        <v>448</v>
      </c>
      <c r="E148" s="6" t="str">
        <f t="shared" si="19"/>
        <v>2021/7/27,</v>
      </c>
      <c r="F148" s="6" t="str">
        <f t="shared" si="20"/>
        <v>2021/7/27,</v>
      </c>
      <c r="G148" s="1" t="s">
        <v>447</v>
      </c>
      <c r="H148" t="str">
        <f t="shared" si="21"/>
        <v>7600</v>
      </c>
      <c r="I148" t="str">
        <f t="shared" si="22"/>
        <v>7</v>
      </c>
      <c r="J148" t="str">
        <f t="shared" si="23"/>
        <v>6</v>
      </c>
      <c r="K148" t="str">
        <f t="shared" si="24"/>
        <v>0</v>
      </c>
      <c r="L148" t="str">
        <f t="shared" si="25"/>
        <v>0</v>
      </c>
      <c r="M148" s="7" t="str">
        <f t="shared" si="26"/>
        <v>147,2021/7/27,7600,7,6,0,0</v>
      </c>
    </row>
    <row r="149" spans="1:13" ht="18" customHeight="1">
      <c r="A149" s="1" t="s">
        <v>449</v>
      </c>
      <c r="B149" s="1" t="s">
        <v>450</v>
      </c>
      <c r="C149" s="1" t="str">
        <f t="shared" si="18"/>
        <v xml:space="preserve">2021年7月28日 </v>
      </c>
      <c r="D149" s="1" t="s">
        <v>451</v>
      </c>
      <c r="E149" s="6" t="str">
        <f t="shared" si="19"/>
        <v>2021/7/28,</v>
      </c>
      <c r="F149" s="6" t="str">
        <f t="shared" si="20"/>
        <v>2021/7/28,</v>
      </c>
      <c r="G149" s="1" t="s">
        <v>450</v>
      </c>
      <c r="H149" t="str">
        <f t="shared" si="21"/>
        <v>8763</v>
      </c>
      <c r="I149" t="str">
        <f t="shared" si="22"/>
        <v>8</v>
      </c>
      <c r="J149" t="str">
        <f t="shared" si="23"/>
        <v>7</v>
      </c>
      <c r="K149" t="str">
        <f t="shared" si="24"/>
        <v>6</v>
      </c>
      <c r="L149" t="str">
        <f t="shared" si="25"/>
        <v>3</v>
      </c>
      <c r="M149" s="7" t="str">
        <f t="shared" si="26"/>
        <v>148,2021/7/28,8763,8,7,6,3</v>
      </c>
    </row>
    <row r="150" spans="1:13" ht="18" customHeight="1">
      <c r="A150" s="1" t="s">
        <v>452</v>
      </c>
      <c r="B150" s="1" t="s">
        <v>453</v>
      </c>
      <c r="C150" s="1" t="str">
        <f t="shared" si="18"/>
        <v xml:space="preserve">2021年7月29日 </v>
      </c>
      <c r="D150" s="1" t="s">
        <v>454</v>
      </c>
      <c r="E150" s="6" t="str">
        <f t="shared" si="19"/>
        <v>2021/7/29,</v>
      </c>
      <c r="F150" s="6" t="str">
        <f t="shared" si="20"/>
        <v>2021/7/29,</v>
      </c>
      <c r="G150" s="1" t="s">
        <v>453</v>
      </c>
      <c r="H150" t="str">
        <f t="shared" si="21"/>
        <v>1678</v>
      </c>
      <c r="I150" t="str">
        <f t="shared" si="22"/>
        <v>1</v>
      </c>
      <c r="J150" t="str">
        <f t="shared" si="23"/>
        <v>6</v>
      </c>
      <c r="K150" t="str">
        <f t="shared" si="24"/>
        <v>7</v>
      </c>
      <c r="L150" t="str">
        <f t="shared" si="25"/>
        <v>8</v>
      </c>
      <c r="M150" s="7" t="str">
        <f t="shared" si="26"/>
        <v>149,2021/7/29,1678,1,6,7,8</v>
      </c>
    </row>
    <row r="151" spans="1:13" ht="18" customHeight="1">
      <c r="A151" s="1" t="s">
        <v>455</v>
      </c>
      <c r="B151" s="1" t="s">
        <v>456</v>
      </c>
      <c r="C151" s="1" t="str">
        <f t="shared" si="18"/>
        <v xml:space="preserve">2021年7月30日 </v>
      </c>
      <c r="D151" s="1" t="s">
        <v>457</v>
      </c>
      <c r="E151" s="6" t="str">
        <f t="shared" si="19"/>
        <v>2021/7/30,</v>
      </c>
      <c r="F151" s="6" t="str">
        <f t="shared" si="20"/>
        <v>2021/7/30,</v>
      </c>
      <c r="G151" s="1" t="s">
        <v>456</v>
      </c>
      <c r="H151" t="str">
        <f t="shared" si="21"/>
        <v>7506</v>
      </c>
      <c r="I151" t="str">
        <f t="shared" si="22"/>
        <v>7</v>
      </c>
      <c r="J151" t="str">
        <f t="shared" si="23"/>
        <v>5</v>
      </c>
      <c r="K151" t="str">
        <f t="shared" si="24"/>
        <v>0</v>
      </c>
      <c r="L151" t="str">
        <f t="shared" si="25"/>
        <v>6</v>
      </c>
      <c r="M151" s="7" t="str">
        <f t="shared" si="26"/>
        <v>150,2021/7/30,7506,7,5,0,6</v>
      </c>
    </row>
    <row r="152" spans="1:13" ht="18" customHeight="1">
      <c r="A152" s="1" t="s">
        <v>458</v>
      </c>
      <c r="B152" s="1" t="s">
        <v>459</v>
      </c>
      <c r="C152" s="1" t="str">
        <f t="shared" si="18"/>
        <v>2021年8月2日  </v>
      </c>
      <c r="D152" s="1" t="s">
        <v>460</v>
      </c>
      <c r="E152" s="6" t="str">
        <f t="shared" si="19"/>
        <v>2021/8/2, </v>
      </c>
      <c r="F152" s="6" t="str">
        <f t="shared" si="20"/>
        <v>2021/8/2, </v>
      </c>
      <c r="G152" s="1" t="s">
        <v>459</v>
      </c>
      <c r="H152" t="str">
        <f t="shared" si="21"/>
        <v>9627</v>
      </c>
      <c r="I152" t="str">
        <f t="shared" si="22"/>
        <v>9</v>
      </c>
      <c r="J152" t="str">
        <f t="shared" si="23"/>
        <v>6</v>
      </c>
      <c r="K152" t="str">
        <f t="shared" si="24"/>
        <v>2</v>
      </c>
      <c r="L152" t="str">
        <f t="shared" si="25"/>
        <v>7</v>
      </c>
      <c r="M152" s="7" t="str">
        <f t="shared" si="26"/>
        <v>151,2021/8/2, 9627,9,6,2,7</v>
      </c>
    </row>
    <row r="153" spans="1:13" ht="18" customHeight="1">
      <c r="A153" s="1" t="s">
        <v>461</v>
      </c>
      <c r="B153" s="1" t="s">
        <v>462</v>
      </c>
      <c r="C153" s="1" t="str">
        <f t="shared" si="18"/>
        <v>2021年8月3日  </v>
      </c>
      <c r="D153" s="1" t="s">
        <v>463</v>
      </c>
      <c r="E153" s="6" t="str">
        <f t="shared" si="19"/>
        <v>2021/8/3, </v>
      </c>
      <c r="F153" s="6" t="str">
        <f t="shared" si="20"/>
        <v>2021/8/3, </v>
      </c>
      <c r="G153" s="1" t="s">
        <v>462</v>
      </c>
      <c r="H153" t="str">
        <f t="shared" si="21"/>
        <v>8365</v>
      </c>
      <c r="I153" t="str">
        <f t="shared" si="22"/>
        <v>8</v>
      </c>
      <c r="J153" t="str">
        <f t="shared" si="23"/>
        <v>3</v>
      </c>
      <c r="K153" t="str">
        <f t="shared" si="24"/>
        <v>6</v>
      </c>
      <c r="L153" t="str">
        <f t="shared" si="25"/>
        <v>5</v>
      </c>
      <c r="M153" s="7" t="str">
        <f t="shared" si="26"/>
        <v>152,2021/8/3, 8365,8,3,6,5</v>
      </c>
    </row>
    <row r="154" spans="1:13" ht="18" customHeight="1">
      <c r="A154" s="1" t="s">
        <v>464</v>
      </c>
      <c r="B154" s="1" t="s">
        <v>465</v>
      </c>
      <c r="C154" s="1" t="str">
        <f t="shared" si="18"/>
        <v>2021年8月4日  </v>
      </c>
      <c r="D154" s="1" t="s">
        <v>466</v>
      </c>
      <c r="E154" s="6" t="str">
        <f t="shared" si="19"/>
        <v>2021/8/4, </v>
      </c>
      <c r="F154" s="6" t="str">
        <f t="shared" si="20"/>
        <v>2021/8/4, </v>
      </c>
      <c r="G154" s="1" t="s">
        <v>465</v>
      </c>
      <c r="H154" t="str">
        <f t="shared" si="21"/>
        <v>1783</v>
      </c>
      <c r="I154" t="str">
        <f t="shared" si="22"/>
        <v>1</v>
      </c>
      <c r="J154" t="str">
        <f t="shared" si="23"/>
        <v>7</v>
      </c>
      <c r="K154" t="str">
        <f t="shared" si="24"/>
        <v>8</v>
      </c>
      <c r="L154" t="str">
        <f t="shared" si="25"/>
        <v>3</v>
      </c>
      <c r="M154" s="7" t="str">
        <f t="shared" si="26"/>
        <v>153,2021/8/4, 1783,1,7,8,3</v>
      </c>
    </row>
    <row r="155" spans="1:13" ht="18" customHeight="1">
      <c r="A155" s="1" t="s">
        <v>467</v>
      </c>
      <c r="B155" s="1" t="s">
        <v>468</v>
      </c>
      <c r="C155" s="1" t="str">
        <f t="shared" si="18"/>
        <v>2021年8月5日  </v>
      </c>
      <c r="D155" s="1" t="s">
        <v>469</v>
      </c>
      <c r="E155" s="6" t="str">
        <f t="shared" si="19"/>
        <v>2021/8/5, </v>
      </c>
      <c r="F155" s="6" t="str">
        <f t="shared" si="20"/>
        <v>2021/8/5, </v>
      </c>
      <c r="G155" s="1" t="s">
        <v>468</v>
      </c>
      <c r="H155" t="str">
        <f t="shared" si="21"/>
        <v>0798</v>
      </c>
      <c r="I155" t="str">
        <f t="shared" si="22"/>
        <v>0</v>
      </c>
      <c r="J155" t="str">
        <f t="shared" si="23"/>
        <v>7</v>
      </c>
      <c r="K155" t="str">
        <f t="shared" si="24"/>
        <v>9</v>
      </c>
      <c r="L155" t="str">
        <f t="shared" si="25"/>
        <v>8</v>
      </c>
      <c r="M155" s="7" t="str">
        <f t="shared" si="26"/>
        <v>154,2021/8/5, 0798,0,7,9,8</v>
      </c>
    </row>
    <row r="156" spans="1:13" ht="18" customHeight="1">
      <c r="A156" s="1" t="s">
        <v>470</v>
      </c>
      <c r="B156" s="1" t="s">
        <v>471</v>
      </c>
      <c r="C156" s="1" t="str">
        <f t="shared" si="18"/>
        <v>2021年8月6日  </v>
      </c>
      <c r="D156" s="1" t="s">
        <v>472</v>
      </c>
      <c r="E156" s="6" t="str">
        <f t="shared" si="19"/>
        <v>2021/8/6, </v>
      </c>
      <c r="F156" s="6" t="str">
        <f t="shared" si="20"/>
        <v>2021/8/6, </v>
      </c>
      <c r="G156" s="1" t="s">
        <v>471</v>
      </c>
      <c r="H156" t="str">
        <f t="shared" si="21"/>
        <v>9860</v>
      </c>
      <c r="I156" t="str">
        <f t="shared" si="22"/>
        <v>9</v>
      </c>
      <c r="J156" t="str">
        <f t="shared" si="23"/>
        <v>8</v>
      </c>
      <c r="K156" t="str">
        <f t="shared" si="24"/>
        <v>6</v>
      </c>
      <c r="L156" t="str">
        <f t="shared" si="25"/>
        <v>0</v>
      </c>
      <c r="M156" s="7" t="str">
        <f t="shared" si="26"/>
        <v>155,2021/8/6, 9860,9,8,6,0</v>
      </c>
    </row>
    <row r="157" spans="1:13" ht="18" customHeight="1">
      <c r="A157" s="1" t="s">
        <v>473</v>
      </c>
      <c r="B157" s="1" t="s">
        <v>474</v>
      </c>
      <c r="C157" s="1" t="str">
        <f t="shared" si="18"/>
        <v>2021年8月9日  </v>
      </c>
      <c r="D157" s="1" t="s">
        <v>475</v>
      </c>
      <c r="E157" s="6" t="str">
        <f t="shared" si="19"/>
        <v>2021/8/9, </v>
      </c>
      <c r="F157" s="6" t="str">
        <f t="shared" si="20"/>
        <v>2021/8/9, </v>
      </c>
      <c r="G157" s="1" t="s">
        <v>474</v>
      </c>
      <c r="H157" t="str">
        <f t="shared" si="21"/>
        <v>2085</v>
      </c>
      <c r="I157" t="str">
        <f t="shared" si="22"/>
        <v>2</v>
      </c>
      <c r="J157" t="str">
        <f t="shared" si="23"/>
        <v>0</v>
      </c>
      <c r="K157" t="str">
        <f t="shared" si="24"/>
        <v>8</v>
      </c>
      <c r="L157" t="str">
        <f t="shared" si="25"/>
        <v>5</v>
      </c>
      <c r="M157" s="7" t="str">
        <f t="shared" si="26"/>
        <v>156,2021/8/9, 2085,2,0,8,5</v>
      </c>
    </row>
    <row r="158" spans="1:13" ht="18" customHeight="1">
      <c r="A158" s="1" t="s">
        <v>476</v>
      </c>
      <c r="B158" s="1" t="s">
        <v>477</v>
      </c>
      <c r="C158" s="1" t="str">
        <f t="shared" si="18"/>
        <v xml:space="preserve">2021年8月10日 </v>
      </c>
      <c r="D158" s="1" t="s">
        <v>478</v>
      </c>
      <c r="E158" s="6" t="str">
        <f t="shared" si="19"/>
        <v>2021/8/10,</v>
      </c>
      <c r="F158" s="6" t="str">
        <f t="shared" si="20"/>
        <v>2021/8/10,</v>
      </c>
      <c r="G158" s="1" t="s">
        <v>477</v>
      </c>
      <c r="H158" t="str">
        <f t="shared" si="21"/>
        <v>2610</v>
      </c>
      <c r="I158" t="str">
        <f t="shared" si="22"/>
        <v>2</v>
      </c>
      <c r="J158" t="str">
        <f t="shared" si="23"/>
        <v>6</v>
      </c>
      <c r="K158" t="str">
        <f t="shared" si="24"/>
        <v>1</v>
      </c>
      <c r="L158" t="str">
        <f t="shared" si="25"/>
        <v>0</v>
      </c>
      <c r="M158" s="7" t="str">
        <f t="shared" si="26"/>
        <v>157,2021/8/10,2610,2,6,1,0</v>
      </c>
    </row>
    <row r="159" spans="1:13" ht="18" customHeight="1">
      <c r="A159" s="1" t="s">
        <v>479</v>
      </c>
      <c r="B159" s="1" t="s">
        <v>480</v>
      </c>
      <c r="C159" s="1" t="str">
        <f t="shared" si="18"/>
        <v xml:space="preserve">2021年8月11日 </v>
      </c>
      <c r="D159" s="1" t="s">
        <v>481</v>
      </c>
      <c r="E159" s="6" t="str">
        <f t="shared" si="19"/>
        <v>2021/8/11,</v>
      </c>
      <c r="F159" s="6" t="str">
        <f t="shared" si="20"/>
        <v>2021/8/11,</v>
      </c>
      <c r="G159" s="1" t="s">
        <v>480</v>
      </c>
      <c r="H159" t="str">
        <f t="shared" si="21"/>
        <v>0985</v>
      </c>
      <c r="I159" t="str">
        <f t="shared" si="22"/>
        <v>0</v>
      </c>
      <c r="J159" t="str">
        <f t="shared" si="23"/>
        <v>9</v>
      </c>
      <c r="K159" t="str">
        <f t="shared" si="24"/>
        <v>8</v>
      </c>
      <c r="L159" t="str">
        <f t="shared" si="25"/>
        <v>5</v>
      </c>
      <c r="M159" s="7" t="str">
        <f t="shared" si="26"/>
        <v>158,2021/8/11,0985,0,9,8,5</v>
      </c>
    </row>
    <row r="160" spans="1:13" ht="18" customHeight="1">
      <c r="A160" s="1" t="s">
        <v>482</v>
      </c>
      <c r="B160" s="1" t="s">
        <v>483</v>
      </c>
      <c r="C160" s="1" t="str">
        <f t="shared" si="18"/>
        <v xml:space="preserve">2021年8月12日 </v>
      </c>
      <c r="D160" s="1" t="s">
        <v>484</v>
      </c>
      <c r="E160" s="6" t="str">
        <f t="shared" si="19"/>
        <v>2021/8/12,</v>
      </c>
      <c r="F160" s="6" t="str">
        <f t="shared" si="20"/>
        <v>2021/8/12,</v>
      </c>
      <c r="G160" s="1" t="s">
        <v>483</v>
      </c>
      <c r="H160" t="str">
        <f t="shared" si="21"/>
        <v>8547</v>
      </c>
      <c r="I160" t="str">
        <f t="shared" si="22"/>
        <v>8</v>
      </c>
      <c r="J160" t="str">
        <f t="shared" si="23"/>
        <v>5</v>
      </c>
      <c r="K160" t="str">
        <f t="shared" si="24"/>
        <v>4</v>
      </c>
      <c r="L160" t="str">
        <f t="shared" si="25"/>
        <v>7</v>
      </c>
      <c r="M160" s="7" t="str">
        <f t="shared" si="26"/>
        <v>159,2021/8/12,8547,8,5,4,7</v>
      </c>
    </row>
    <row r="161" spans="1:13" ht="18" customHeight="1">
      <c r="A161" s="1" t="s">
        <v>485</v>
      </c>
      <c r="B161" s="1" t="s">
        <v>486</v>
      </c>
      <c r="C161" s="1" t="str">
        <f t="shared" si="18"/>
        <v xml:space="preserve">2021年8月13日 </v>
      </c>
      <c r="D161" s="1" t="s">
        <v>487</v>
      </c>
      <c r="E161" s="6" t="str">
        <f t="shared" si="19"/>
        <v>2021/8/13,</v>
      </c>
      <c r="F161" s="6" t="str">
        <f t="shared" si="20"/>
        <v>2021/8/13,</v>
      </c>
      <c r="G161" s="1" t="s">
        <v>486</v>
      </c>
      <c r="H161" t="str">
        <f t="shared" si="21"/>
        <v>0949</v>
      </c>
      <c r="I161" t="str">
        <f t="shared" si="22"/>
        <v>0</v>
      </c>
      <c r="J161" t="str">
        <f t="shared" si="23"/>
        <v>9</v>
      </c>
      <c r="K161" t="str">
        <f t="shared" si="24"/>
        <v>4</v>
      </c>
      <c r="L161" t="str">
        <f t="shared" si="25"/>
        <v>9</v>
      </c>
      <c r="M161" s="7" t="str">
        <f t="shared" si="26"/>
        <v>160,2021/8/13,0949,0,9,4,9</v>
      </c>
    </row>
    <row r="162" spans="1:13" ht="18" customHeight="1">
      <c r="A162" s="1" t="s">
        <v>488</v>
      </c>
      <c r="B162" s="1" t="s">
        <v>489</v>
      </c>
      <c r="C162" s="1" t="str">
        <f t="shared" si="18"/>
        <v xml:space="preserve">2021年8月16日 </v>
      </c>
      <c r="D162" s="1" t="s">
        <v>490</v>
      </c>
      <c r="E162" s="6" t="str">
        <f t="shared" si="19"/>
        <v>2021/8/16,</v>
      </c>
      <c r="F162" s="6" t="str">
        <f t="shared" si="20"/>
        <v>2021/8/16,</v>
      </c>
      <c r="G162" s="1" t="s">
        <v>489</v>
      </c>
      <c r="H162" t="str">
        <f t="shared" si="21"/>
        <v>7342</v>
      </c>
      <c r="I162" t="str">
        <f t="shared" si="22"/>
        <v>7</v>
      </c>
      <c r="J162" t="str">
        <f t="shared" si="23"/>
        <v>3</v>
      </c>
      <c r="K162" t="str">
        <f t="shared" si="24"/>
        <v>4</v>
      </c>
      <c r="L162" t="str">
        <f t="shared" si="25"/>
        <v>2</v>
      </c>
      <c r="M162" s="7" t="str">
        <f t="shared" si="26"/>
        <v>161,2021/8/16,7342,7,3,4,2</v>
      </c>
    </row>
    <row r="163" spans="1:13" ht="18" customHeight="1">
      <c r="A163" s="1" t="s">
        <v>491</v>
      </c>
      <c r="B163" s="1" t="s">
        <v>492</v>
      </c>
      <c r="C163" s="1" t="str">
        <f t="shared" si="18"/>
        <v xml:space="preserve">2021年8月17日 </v>
      </c>
      <c r="D163" s="1" t="s">
        <v>493</v>
      </c>
      <c r="E163" s="6" t="str">
        <f t="shared" si="19"/>
        <v>2021/8/17,</v>
      </c>
      <c r="F163" s="6" t="str">
        <f t="shared" si="20"/>
        <v>2021/8/17,</v>
      </c>
      <c r="G163" s="1" t="s">
        <v>492</v>
      </c>
      <c r="H163" t="str">
        <f t="shared" si="21"/>
        <v>9191</v>
      </c>
      <c r="I163" t="str">
        <f t="shared" si="22"/>
        <v>9</v>
      </c>
      <c r="J163" t="str">
        <f t="shared" si="23"/>
        <v>1</v>
      </c>
      <c r="K163" t="str">
        <f t="shared" si="24"/>
        <v>9</v>
      </c>
      <c r="L163" t="str">
        <f t="shared" si="25"/>
        <v>1</v>
      </c>
      <c r="M163" s="7" t="str">
        <f t="shared" si="26"/>
        <v>162,2021/8/17,9191,9,1,9,1</v>
      </c>
    </row>
    <row r="164" spans="1:13" ht="18" customHeight="1">
      <c r="A164" s="1" t="s">
        <v>494</v>
      </c>
      <c r="B164" s="1" t="s">
        <v>495</v>
      </c>
      <c r="C164" s="1" t="str">
        <f t="shared" si="18"/>
        <v xml:space="preserve">2021年8月18日 </v>
      </c>
      <c r="D164" s="1" t="s">
        <v>496</v>
      </c>
      <c r="E164" s="6" t="str">
        <f t="shared" si="19"/>
        <v>2021/8/18,</v>
      </c>
      <c r="F164" s="6" t="str">
        <f t="shared" si="20"/>
        <v>2021/8/18,</v>
      </c>
      <c r="G164" s="1" t="s">
        <v>495</v>
      </c>
      <c r="H164" t="str">
        <f t="shared" si="21"/>
        <v>4861</v>
      </c>
      <c r="I164" t="str">
        <f t="shared" si="22"/>
        <v>4</v>
      </c>
      <c r="J164" t="str">
        <f t="shared" si="23"/>
        <v>8</v>
      </c>
      <c r="K164" t="str">
        <f t="shared" si="24"/>
        <v>6</v>
      </c>
      <c r="L164" t="str">
        <f t="shared" si="25"/>
        <v>1</v>
      </c>
      <c r="M164" s="7" t="str">
        <f t="shared" si="26"/>
        <v>163,2021/8/18,4861,4,8,6,1</v>
      </c>
    </row>
    <row r="165" spans="1:13" ht="18" customHeight="1">
      <c r="A165" s="1" t="s">
        <v>497</v>
      </c>
      <c r="B165" s="1" t="s">
        <v>498</v>
      </c>
      <c r="C165" s="1" t="str">
        <f t="shared" si="18"/>
        <v xml:space="preserve">2021年8月19日 </v>
      </c>
      <c r="D165" s="1" t="s">
        <v>499</v>
      </c>
      <c r="E165" s="6" t="str">
        <f t="shared" si="19"/>
        <v>2021/8/19,</v>
      </c>
      <c r="F165" s="6" t="str">
        <f t="shared" si="20"/>
        <v>2021/8/19,</v>
      </c>
      <c r="G165" s="1" t="s">
        <v>498</v>
      </c>
      <c r="H165" t="str">
        <f t="shared" si="21"/>
        <v>1275</v>
      </c>
      <c r="I165" t="str">
        <f t="shared" si="22"/>
        <v>1</v>
      </c>
      <c r="J165" t="str">
        <f t="shared" si="23"/>
        <v>2</v>
      </c>
      <c r="K165" t="str">
        <f t="shared" si="24"/>
        <v>7</v>
      </c>
      <c r="L165" t="str">
        <f t="shared" si="25"/>
        <v>5</v>
      </c>
      <c r="M165" s="7" t="str">
        <f t="shared" si="26"/>
        <v>164,2021/8/19,1275,1,2,7,5</v>
      </c>
    </row>
    <row r="166" spans="1:13" ht="18" customHeight="1">
      <c r="A166" s="1" t="s">
        <v>500</v>
      </c>
      <c r="B166" s="1" t="s">
        <v>501</v>
      </c>
      <c r="C166" s="1" t="str">
        <f t="shared" si="18"/>
        <v xml:space="preserve">2021年8月20日 </v>
      </c>
      <c r="D166" s="1" t="s">
        <v>502</v>
      </c>
      <c r="E166" s="6" t="str">
        <f t="shared" si="19"/>
        <v>2021/8/20,</v>
      </c>
      <c r="F166" s="6" t="str">
        <f t="shared" si="20"/>
        <v>2021/8/20,</v>
      </c>
      <c r="G166" s="1" t="s">
        <v>501</v>
      </c>
      <c r="H166" t="str">
        <f t="shared" si="21"/>
        <v>6659</v>
      </c>
      <c r="I166" t="str">
        <f t="shared" si="22"/>
        <v>6</v>
      </c>
      <c r="J166" t="str">
        <f t="shared" si="23"/>
        <v>6</v>
      </c>
      <c r="K166" t="str">
        <f t="shared" si="24"/>
        <v>5</v>
      </c>
      <c r="L166" t="str">
        <f t="shared" si="25"/>
        <v>9</v>
      </c>
      <c r="M166" s="7" t="str">
        <f t="shared" si="26"/>
        <v>165,2021/8/20,6659,6,6,5,9</v>
      </c>
    </row>
    <row r="167" spans="1:13" ht="18" customHeight="1">
      <c r="A167" s="1" t="s">
        <v>503</v>
      </c>
      <c r="B167" s="1" t="s">
        <v>504</v>
      </c>
      <c r="C167" s="1" t="str">
        <f t="shared" si="18"/>
        <v xml:space="preserve">2021年8月23日 </v>
      </c>
      <c r="D167" s="1" t="s">
        <v>505</v>
      </c>
      <c r="E167" s="6" t="str">
        <f t="shared" si="19"/>
        <v>2021/8/23,</v>
      </c>
      <c r="F167" s="6" t="str">
        <f t="shared" si="20"/>
        <v>2021/8/23,</v>
      </c>
      <c r="G167" s="1" t="s">
        <v>504</v>
      </c>
      <c r="H167" t="str">
        <f t="shared" si="21"/>
        <v>8494</v>
      </c>
      <c r="I167" t="str">
        <f t="shared" si="22"/>
        <v>8</v>
      </c>
      <c r="J167" t="str">
        <f t="shared" si="23"/>
        <v>4</v>
      </c>
      <c r="K167" t="str">
        <f t="shared" si="24"/>
        <v>9</v>
      </c>
      <c r="L167" t="str">
        <f t="shared" si="25"/>
        <v>4</v>
      </c>
      <c r="M167" s="7" t="str">
        <f t="shared" si="26"/>
        <v>166,2021/8/23,8494,8,4,9,4</v>
      </c>
    </row>
    <row r="168" spans="1:13" ht="18" customHeight="1">
      <c r="A168" s="1" t="s">
        <v>506</v>
      </c>
      <c r="B168" s="1" t="s">
        <v>507</v>
      </c>
      <c r="C168" s="1" t="str">
        <f t="shared" si="18"/>
        <v xml:space="preserve">2021年8月24日 </v>
      </c>
      <c r="D168" s="1" t="s">
        <v>508</v>
      </c>
      <c r="E168" s="6" t="str">
        <f t="shared" si="19"/>
        <v>2021/8/24,</v>
      </c>
      <c r="F168" s="6" t="str">
        <f t="shared" si="20"/>
        <v>2021/8/24,</v>
      </c>
      <c r="G168" s="1" t="s">
        <v>507</v>
      </c>
      <c r="H168" t="str">
        <f t="shared" si="21"/>
        <v>2058</v>
      </c>
      <c r="I168" t="str">
        <f t="shared" si="22"/>
        <v>2</v>
      </c>
      <c r="J168" t="str">
        <f t="shared" si="23"/>
        <v>0</v>
      </c>
      <c r="K168" t="str">
        <f t="shared" si="24"/>
        <v>5</v>
      </c>
      <c r="L168" t="str">
        <f t="shared" si="25"/>
        <v>8</v>
      </c>
      <c r="M168" s="7" t="str">
        <f t="shared" si="26"/>
        <v>167,2021/8/24,2058,2,0,5,8</v>
      </c>
    </row>
    <row r="169" spans="1:13" ht="18" customHeight="1">
      <c r="A169" s="1" t="s">
        <v>509</v>
      </c>
      <c r="B169" s="1" t="s">
        <v>510</v>
      </c>
      <c r="C169" s="1" t="str">
        <f t="shared" si="18"/>
        <v xml:space="preserve">2021年8月25日 </v>
      </c>
      <c r="D169" s="1" t="s">
        <v>511</v>
      </c>
      <c r="E169" s="6" t="str">
        <f t="shared" si="19"/>
        <v>2021/8/25,</v>
      </c>
      <c r="F169" s="6" t="str">
        <f t="shared" si="20"/>
        <v>2021/8/25,</v>
      </c>
      <c r="G169" s="1" t="s">
        <v>510</v>
      </c>
      <c r="H169" t="str">
        <f t="shared" si="21"/>
        <v>3500</v>
      </c>
      <c r="I169" t="str">
        <f t="shared" si="22"/>
        <v>3</v>
      </c>
      <c r="J169" t="str">
        <f t="shared" si="23"/>
        <v>5</v>
      </c>
      <c r="K169" t="str">
        <f t="shared" si="24"/>
        <v>0</v>
      </c>
      <c r="L169" t="str">
        <f t="shared" si="25"/>
        <v>0</v>
      </c>
      <c r="M169" s="7" t="str">
        <f t="shared" si="26"/>
        <v>168,2021/8/25,3500,3,5,0,0</v>
      </c>
    </row>
    <row r="170" spans="1:13" ht="18" customHeight="1">
      <c r="A170" s="1" t="s">
        <v>512</v>
      </c>
      <c r="B170" s="1" t="s">
        <v>513</v>
      </c>
      <c r="C170" s="1" t="str">
        <f t="shared" si="18"/>
        <v xml:space="preserve">2021年8月26日 </v>
      </c>
      <c r="D170" s="1" t="s">
        <v>514</v>
      </c>
      <c r="E170" s="6" t="str">
        <f t="shared" si="19"/>
        <v>2021/8/26,</v>
      </c>
      <c r="F170" s="6" t="str">
        <f t="shared" si="20"/>
        <v>2021/8/26,</v>
      </c>
      <c r="G170" s="1" t="s">
        <v>513</v>
      </c>
      <c r="H170" t="str">
        <f t="shared" si="21"/>
        <v>3631</v>
      </c>
      <c r="I170" t="str">
        <f t="shared" si="22"/>
        <v>3</v>
      </c>
      <c r="J170" t="str">
        <f t="shared" si="23"/>
        <v>6</v>
      </c>
      <c r="K170" t="str">
        <f t="shared" si="24"/>
        <v>3</v>
      </c>
      <c r="L170" t="str">
        <f t="shared" si="25"/>
        <v>1</v>
      </c>
      <c r="M170" s="7" t="str">
        <f t="shared" si="26"/>
        <v>169,2021/8/26,3631,3,6,3,1</v>
      </c>
    </row>
    <row r="171" spans="1:13" ht="18" customHeight="1">
      <c r="A171" s="1" t="s">
        <v>515</v>
      </c>
      <c r="B171" s="1" t="s">
        <v>516</v>
      </c>
      <c r="C171" s="1" t="str">
        <f t="shared" si="18"/>
        <v xml:space="preserve">2021年8月27日 </v>
      </c>
      <c r="D171" s="1" t="s">
        <v>517</v>
      </c>
      <c r="E171" s="6" t="str">
        <f t="shared" si="19"/>
        <v>2021/8/27,</v>
      </c>
      <c r="F171" s="6" t="str">
        <f t="shared" si="20"/>
        <v>2021/8/27,</v>
      </c>
      <c r="G171" s="1" t="s">
        <v>516</v>
      </c>
      <c r="H171" t="str">
        <f t="shared" si="21"/>
        <v>2615</v>
      </c>
      <c r="I171" t="str">
        <f t="shared" si="22"/>
        <v>2</v>
      </c>
      <c r="J171" t="str">
        <f t="shared" si="23"/>
        <v>6</v>
      </c>
      <c r="K171" t="str">
        <f t="shared" si="24"/>
        <v>1</v>
      </c>
      <c r="L171" t="str">
        <f t="shared" si="25"/>
        <v>5</v>
      </c>
      <c r="M171" s="7" t="str">
        <f t="shared" si="26"/>
        <v>170,2021/8/27,2615,2,6,1,5</v>
      </c>
    </row>
    <row r="172" spans="1:13" ht="18" customHeight="1">
      <c r="A172" s="1" t="s">
        <v>518</v>
      </c>
      <c r="B172" s="1" t="s">
        <v>519</v>
      </c>
      <c r="C172" s="1" t="str">
        <f t="shared" si="18"/>
        <v xml:space="preserve">2021年8月30日 </v>
      </c>
      <c r="D172" s="1" t="s">
        <v>520</v>
      </c>
      <c r="E172" s="6" t="str">
        <f t="shared" si="19"/>
        <v>2021/8/30,</v>
      </c>
      <c r="F172" s="6" t="str">
        <f t="shared" si="20"/>
        <v>2021/8/30,</v>
      </c>
      <c r="G172" s="1" t="s">
        <v>519</v>
      </c>
      <c r="H172" t="str">
        <f t="shared" si="21"/>
        <v>0715</v>
      </c>
      <c r="I172" t="str">
        <f t="shared" si="22"/>
        <v>0</v>
      </c>
      <c r="J172" t="str">
        <f t="shared" si="23"/>
        <v>7</v>
      </c>
      <c r="K172" t="str">
        <f t="shared" si="24"/>
        <v>1</v>
      </c>
      <c r="L172" t="str">
        <f t="shared" si="25"/>
        <v>5</v>
      </c>
      <c r="M172" s="7" t="str">
        <f t="shared" si="26"/>
        <v>171,2021/8/30,0715,0,7,1,5</v>
      </c>
    </row>
    <row r="173" spans="1:13" ht="18" customHeight="1">
      <c r="A173" s="1" t="s">
        <v>521</v>
      </c>
      <c r="B173" s="1" t="s">
        <v>522</v>
      </c>
      <c r="C173" s="1" t="str">
        <f t="shared" si="18"/>
        <v xml:space="preserve">2021年8月31日 </v>
      </c>
      <c r="D173" s="1" t="s">
        <v>523</v>
      </c>
      <c r="E173" s="6" t="str">
        <f t="shared" si="19"/>
        <v>2021/8/31,</v>
      </c>
      <c r="F173" s="6" t="str">
        <f t="shared" si="20"/>
        <v>2021/8/31,</v>
      </c>
      <c r="G173" s="1" t="s">
        <v>522</v>
      </c>
      <c r="H173" t="str">
        <f t="shared" si="21"/>
        <v>9879</v>
      </c>
      <c r="I173" t="str">
        <f t="shared" si="22"/>
        <v>9</v>
      </c>
      <c r="J173" t="str">
        <f t="shared" si="23"/>
        <v>8</v>
      </c>
      <c r="K173" t="str">
        <f t="shared" si="24"/>
        <v>7</v>
      </c>
      <c r="L173" t="str">
        <f t="shared" si="25"/>
        <v>9</v>
      </c>
      <c r="M173" s="7" t="str">
        <f t="shared" si="26"/>
        <v>172,2021/8/31,9879,9,8,7,9</v>
      </c>
    </row>
    <row r="174" spans="1:13" ht="18" customHeight="1">
      <c r="A174" s="1" t="s">
        <v>524</v>
      </c>
      <c r="B174" s="1" t="s">
        <v>525</v>
      </c>
      <c r="C174" s="1" t="str">
        <f t="shared" si="18"/>
        <v>2021年9月1日  </v>
      </c>
      <c r="D174" s="1" t="s">
        <v>526</v>
      </c>
      <c r="E174" s="6" t="str">
        <f t="shared" si="19"/>
        <v>2021/9/1, </v>
      </c>
      <c r="F174" s="6" t="str">
        <f t="shared" si="20"/>
        <v>2021/9/1, </v>
      </c>
      <c r="G174" s="1" t="s">
        <v>525</v>
      </c>
      <c r="H174" t="str">
        <f t="shared" si="21"/>
        <v>4723</v>
      </c>
      <c r="I174" t="str">
        <f t="shared" si="22"/>
        <v>4</v>
      </c>
      <c r="J174" t="str">
        <f t="shared" si="23"/>
        <v>7</v>
      </c>
      <c r="K174" t="str">
        <f t="shared" si="24"/>
        <v>2</v>
      </c>
      <c r="L174" t="str">
        <f t="shared" si="25"/>
        <v>3</v>
      </c>
      <c r="M174" s="7" t="str">
        <f t="shared" si="26"/>
        <v>173,2021/9/1, 4723,4,7,2,3</v>
      </c>
    </row>
    <row r="175" spans="1:13" ht="18" customHeight="1">
      <c r="A175" s="1" t="s">
        <v>527</v>
      </c>
      <c r="B175" s="1" t="s">
        <v>528</v>
      </c>
      <c r="C175" s="1" t="str">
        <f t="shared" si="18"/>
        <v>2021年9月2日  </v>
      </c>
      <c r="D175" s="1" t="s">
        <v>529</v>
      </c>
      <c r="E175" s="6" t="str">
        <f t="shared" si="19"/>
        <v>2021/9/2, </v>
      </c>
      <c r="F175" s="6" t="str">
        <f t="shared" si="20"/>
        <v>2021/9/2, </v>
      </c>
      <c r="G175" s="1" t="s">
        <v>528</v>
      </c>
      <c r="H175" t="str">
        <f t="shared" si="21"/>
        <v>3476</v>
      </c>
      <c r="I175" t="str">
        <f t="shared" si="22"/>
        <v>3</v>
      </c>
      <c r="J175" t="str">
        <f t="shared" si="23"/>
        <v>4</v>
      </c>
      <c r="K175" t="str">
        <f t="shared" si="24"/>
        <v>7</v>
      </c>
      <c r="L175" t="str">
        <f t="shared" si="25"/>
        <v>6</v>
      </c>
      <c r="M175" s="7" t="str">
        <f t="shared" si="26"/>
        <v>174,2021/9/2, 3476,3,4,7,6</v>
      </c>
    </row>
    <row r="176" spans="1:13" ht="18" customHeight="1">
      <c r="A176" s="1" t="s">
        <v>530</v>
      </c>
      <c r="B176" s="1" t="s">
        <v>531</v>
      </c>
      <c r="C176" s="1" t="str">
        <f t="shared" si="18"/>
        <v>2021年9月3日  </v>
      </c>
      <c r="D176" s="1" t="s">
        <v>532</v>
      </c>
      <c r="E176" s="6" t="str">
        <f t="shared" si="19"/>
        <v>2021/9/3, </v>
      </c>
      <c r="F176" s="6" t="str">
        <f t="shared" si="20"/>
        <v>2021/9/3, </v>
      </c>
      <c r="G176" s="1" t="s">
        <v>531</v>
      </c>
      <c r="H176" t="str">
        <f t="shared" si="21"/>
        <v>4858</v>
      </c>
      <c r="I176" t="str">
        <f t="shared" si="22"/>
        <v>4</v>
      </c>
      <c r="J176" t="str">
        <f t="shared" si="23"/>
        <v>8</v>
      </c>
      <c r="K176" t="str">
        <f t="shared" si="24"/>
        <v>5</v>
      </c>
      <c r="L176" t="str">
        <f t="shared" si="25"/>
        <v>8</v>
      </c>
      <c r="M176" s="7" t="str">
        <f t="shared" si="26"/>
        <v>175,2021/9/3, 4858,4,8,5,8</v>
      </c>
    </row>
    <row r="177" spans="1:13" ht="18" customHeight="1">
      <c r="A177" s="1" t="s">
        <v>533</v>
      </c>
      <c r="B177" s="1" t="s">
        <v>534</v>
      </c>
      <c r="C177" s="1" t="str">
        <f t="shared" si="18"/>
        <v>2021年9月6日  </v>
      </c>
      <c r="D177" s="1" t="s">
        <v>535</v>
      </c>
      <c r="E177" s="6" t="str">
        <f t="shared" si="19"/>
        <v>2021/9/6, </v>
      </c>
      <c r="F177" s="6" t="str">
        <f t="shared" si="20"/>
        <v>2021/9/6, </v>
      </c>
      <c r="G177" s="1" t="s">
        <v>534</v>
      </c>
      <c r="H177" t="str">
        <f t="shared" si="21"/>
        <v>6163</v>
      </c>
      <c r="I177" t="str">
        <f t="shared" si="22"/>
        <v>6</v>
      </c>
      <c r="J177" t="str">
        <f t="shared" si="23"/>
        <v>1</v>
      </c>
      <c r="K177" t="str">
        <f t="shared" si="24"/>
        <v>6</v>
      </c>
      <c r="L177" t="str">
        <f t="shared" si="25"/>
        <v>3</v>
      </c>
      <c r="M177" s="7" t="str">
        <f t="shared" si="26"/>
        <v>176,2021/9/6, 6163,6,1,6,3</v>
      </c>
    </row>
    <row r="178" spans="1:13" ht="18" customHeight="1">
      <c r="A178" s="1" t="s">
        <v>536</v>
      </c>
      <c r="B178" s="1" t="s">
        <v>537</v>
      </c>
      <c r="C178" s="1" t="str">
        <f t="shared" si="18"/>
        <v>2021年9月7日  </v>
      </c>
      <c r="D178" s="1" t="s">
        <v>538</v>
      </c>
      <c r="E178" s="6" t="str">
        <f t="shared" si="19"/>
        <v>2021/9/7, </v>
      </c>
      <c r="F178" s="6" t="str">
        <f t="shared" si="20"/>
        <v>2021/9/7, </v>
      </c>
      <c r="G178" s="1" t="s">
        <v>537</v>
      </c>
      <c r="H178" t="str">
        <f t="shared" si="21"/>
        <v>0546</v>
      </c>
      <c r="I178" t="str">
        <f t="shared" si="22"/>
        <v>0</v>
      </c>
      <c r="J178" t="str">
        <f t="shared" si="23"/>
        <v>5</v>
      </c>
      <c r="K178" t="str">
        <f t="shared" si="24"/>
        <v>4</v>
      </c>
      <c r="L178" t="str">
        <f t="shared" si="25"/>
        <v>6</v>
      </c>
      <c r="M178" s="7" t="str">
        <f t="shared" si="26"/>
        <v>177,2021/9/7, 0546,0,5,4,6</v>
      </c>
    </row>
    <row r="179" spans="1:13" ht="18" customHeight="1">
      <c r="A179" s="1" t="s">
        <v>539</v>
      </c>
      <c r="B179" s="1" t="s">
        <v>540</v>
      </c>
      <c r="C179" s="1" t="str">
        <f t="shared" si="18"/>
        <v>2021年9月8日  </v>
      </c>
      <c r="D179" s="1" t="s">
        <v>541</v>
      </c>
      <c r="E179" s="6" t="str">
        <f t="shared" si="19"/>
        <v>2021/9/8, </v>
      </c>
      <c r="F179" s="6" t="str">
        <f t="shared" si="20"/>
        <v>2021/9/8, </v>
      </c>
      <c r="G179" s="1" t="s">
        <v>540</v>
      </c>
      <c r="H179" t="str">
        <f t="shared" si="21"/>
        <v>1022</v>
      </c>
      <c r="I179" t="str">
        <f t="shared" si="22"/>
        <v>1</v>
      </c>
      <c r="J179" t="str">
        <f t="shared" si="23"/>
        <v>0</v>
      </c>
      <c r="K179" t="str">
        <f t="shared" si="24"/>
        <v>2</v>
      </c>
      <c r="L179" t="str">
        <f t="shared" si="25"/>
        <v>2</v>
      </c>
      <c r="M179" s="7" t="str">
        <f t="shared" si="26"/>
        <v>178,2021/9/8, 1022,1,0,2,2</v>
      </c>
    </row>
    <row r="180" spans="1:13" ht="18" customHeight="1">
      <c r="A180" s="1" t="s">
        <v>542</v>
      </c>
      <c r="B180" s="1" t="s">
        <v>543</v>
      </c>
      <c r="C180" s="1" t="str">
        <f t="shared" si="18"/>
        <v>2021年9月9日  </v>
      </c>
      <c r="D180" s="1" t="s">
        <v>544</v>
      </c>
      <c r="E180" s="6" t="str">
        <f t="shared" si="19"/>
        <v>2021/9/9, </v>
      </c>
      <c r="F180" s="6" t="str">
        <f t="shared" si="20"/>
        <v>2021/9/9, </v>
      </c>
      <c r="G180" s="1" t="s">
        <v>543</v>
      </c>
      <c r="H180" t="str">
        <f t="shared" si="21"/>
        <v>3550</v>
      </c>
      <c r="I180" t="str">
        <f t="shared" si="22"/>
        <v>3</v>
      </c>
      <c r="J180" t="str">
        <f t="shared" si="23"/>
        <v>5</v>
      </c>
      <c r="K180" t="str">
        <f t="shared" si="24"/>
        <v>5</v>
      </c>
      <c r="L180" t="str">
        <f t="shared" si="25"/>
        <v>0</v>
      </c>
      <c r="M180" s="7" t="str">
        <f t="shared" si="26"/>
        <v>179,2021/9/9, 3550,3,5,5,0</v>
      </c>
    </row>
    <row r="181" spans="1:13" ht="18" customHeight="1">
      <c r="A181" s="1" t="s">
        <v>545</v>
      </c>
      <c r="B181" s="1" t="s">
        <v>546</v>
      </c>
      <c r="C181" s="1" t="str">
        <f t="shared" si="18"/>
        <v xml:space="preserve">2021年9月10日 </v>
      </c>
      <c r="D181" s="1" t="s">
        <v>547</v>
      </c>
      <c r="E181" s="6" t="str">
        <f t="shared" si="19"/>
        <v>2021/9/10,</v>
      </c>
      <c r="F181" s="6" t="str">
        <f t="shared" si="20"/>
        <v>2021/9/10,</v>
      </c>
      <c r="G181" s="1" t="s">
        <v>546</v>
      </c>
      <c r="H181" t="str">
        <f t="shared" si="21"/>
        <v>5853</v>
      </c>
      <c r="I181" t="str">
        <f t="shared" si="22"/>
        <v>5</v>
      </c>
      <c r="J181" t="str">
        <f t="shared" si="23"/>
        <v>8</v>
      </c>
      <c r="K181" t="str">
        <f t="shared" si="24"/>
        <v>5</v>
      </c>
      <c r="L181" t="str">
        <f t="shared" si="25"/>
        <v>3</v>
      </c>
      <c r="M181" s="7" t="str">
        <f t="shared" si="26"/>
        <v>180,2021/9/10,5853,5,8,5,3</v>
      </c>
    </row>
    <row r="182" spans="1:13" ht="18" customHeight="1">
      <c r="A182" s="1" t="s">
        <v>548</v>
      </c>
      <c r="B182" s="1" t="s">
        <v>549</v>
      </c>
      <c r="C182" s="1" t="str">
        <f t="shared" si="18"/>
        <v xml:space="preserve">2021年9月13日 </v>
      </c>
      <c r="D182" s="1" t="s">
        <v>550</v>
      </c>
      <c r="E182" s="6" t="str">
        <f t="shared" si="19"/>
        <v>2021/9/13,</v>
      </c>
      <c r="F182" s="6" t="str">
        <f t="shared" si="20"/>
        <v>2021/9/13,</v>
      </c>
      <c r="G182" s="1" t="s">
        <v>549</v>
      </c>
      <c r="H182" t="str">
        <f t="shared" si="21"/>
        <v>9272</v>
      </c>
      <c r="I182" t="str">
        <f t="shared" si="22"/>
        <v>9</v>
      </c>
      <c r="J182" t="str">
        <f t="shared" si="23"/>
        <v>2</v>
      </c>
      <c r="K182" t="str">
        <f t="shared" si="24"/>
        <v>7</v>
      </c>
      <c r="L182" t="str">
        <f t="shared" si="25"/>
        <v>2</v>
      </c>
      <c r="M182" s="7" t="str">
        <f t="shared" si="26"/>
        <v>181,2021/9/13,9272,9,2,7,2</v>
      </c>
    </row>
    <row r="183" spans="1:13" ht="18" customHeight="1">
      <c r="A183" s="1" t="s">
        <v>551</v>
      </c>
      <c r="B183" s="1" t="s">
        <v>552</v>
      </c>
      <c r="C183" s="1" t="str">
        <f t="shared" si="18"/>
        <v xml:space="preserve">2021年9月14日 </v>
      </c>
      <c r="D183" s="1" t="s">
        <v>553</v>
      </c>
      <c r="E183" s="6" t="str">
        <f t="shared" si="19"/>
        <v>2021/9/14,</v>
      </c>
      <c r="F183" s="6" t="str">
        <f t="shared" si="20"/>
        <v>2021/9/14,</v>
      </c>
      <c r="G183" s="1" t="s">
        <v>552</v>
      </c>
      <c r="H183" t="str">
        <f t="shared" si="21"/>
        <v>8885</v>
      </c>
      <c r="I183" t="str">
        <f t="shared" si="22"/>
        <v>8</v>
      </c>
      <c r="J183" t="str">
        <f t="shared" si="23"/>
        <v>8</v>
      </c>
      <c r="K183" t="str">
        <f t="shared" si="24"/>
        <v>8</v>
      </c>
      <c r="L183" t="str">
        <f t="shared" si="25"/>
        <v>5</v>
      </c>
      <c r="M183" s="7" t="str">
        <f t="shared" si="26"/>
        <v>182,2021/9/14,8885,8,8,8,5</v>
      </c>
    </row>
    <row r="184" spans="1:13" ht="18" customHeight="1">
      <c r="A184" s="1" t="s">
        <v>554</v>
      </c>
      <c r="B184" s="1" t="s">
        <v>555</v>
      </c>
      <c r="C184" s="1" t="str">
        <f t="shared" si="18"/>
        <v xml:space="preserve">2021年9月15日 </v>
      </c>
      <c r="D184" s="1" t="s">
        <v>556</v>
      </c>
      <c r="E184" s="6" t="str">
        <f t="shared" si="19"/>
        <v>2021/9/15,</v>
      </c>
      <c r="F184" s="6" t="str">
        <f t="shared" si="20"/>
        <v>2021/9/15,</v>
      </c>
      <c r="G184" s="1" t="s">
        <v>555</v>
      </c>
      <c r="H184" t="str">
        <f t="shared" si="21"/>
        <v>2409</v>
      </c>
      <c r="I184" t="str">
        <f t="shared" si="22"/>
        <v>2</v>
      </c>
      <c r="J184" t="str">
        <f t="shared" si="23"/>
        <v>4</v>
      </c>
      <c r="K184" t="str">
        <f t="shared" si="24"/>
        <v>0</v>
      </c>
      <c r="L184" t="str">
        <f t="shared" si="25"/>
        <v>9</v>
      </c>
      <c r="M184" s="7" t="str">
        <f t="shared" si="26"/>
        <v>183,2021/9/15,2409,2,4,0,9</v>
      </c>
    </row>
    <row r="185" spans="1:13" ht="18" customHeight="1">
      <c r="A185" s="1" t="s">
        <v>557</v>
      </c>
      <c r="B185" s="1" t="s">
        <v>558</v>
      </c>
      <c r="C185" s="1" t="str">
        <f t="shared" si="18"/>
        <v xml:space="preserve">2021年9月16日 </v>
      </c>
      <c r="D185" s="1" t="s">
        <v>559</v>
      </c>
      <c r="E185" s="6" t="str">
        <f t="shared" si="19"/>
        <v>2021/9/16,</v>
      </c>
      <c r="F185" s="6" t="str">
        <f t="shared" si="20"/>
        <v>2021/9/16,</v>
      </c>
      <c r="G185" s="1" t="s">
        <v>558</v>
      </c>
      <c r="H185" t="str">
        <f t="shared" si="21"/>
        <v>1108</v>
      </c>
      <c r="I185" t="str">
        <f t="shared" si="22"/>
        <v>1</v>
      </c>
      <c r="J185" t="str">
        <f t="shared" si="23"/>
        <v>1</v>
      </c>
      <c r="K185" t="str">
        <f t="shared" si="24"/>
        <v>0</v>
      </c>
      <c r="L185" t="str">
        <f t="shared" si="25"/>
        <v>8</v>
      </c>
      <c r="M185" s="7" t="str">
        <f t="shared" si="26"/>
        <v>184,2021/9/16,1108,1,1,0,8</v>
      </c>
    </row>
    <row r="186" spans="1:13" ht="18" customHeight="1">
      <c r="A186" s="1" t="s">
        <v>560</v>
      </c>
      <c r="B186" s="1" t="s">
        <v>561</v>
      </c>
      <c r="C186" s="1" t="str">
        <f t="shared" si="18"/>
        <v xml:space="preserve">2021年9月17日 </v>
      </c>
      <c r="D186" s="1" t="s">
        <v>562</v>
      </c>
      <c r="E186" s="6" t="str">
        <f t="shared" si="19"/>
        <v>2021/9/17,</v>
      </c>
      <c r="F186" s="6" t="str">
        <f t="shared" si="20"/>
        <v>2021/9/17,</v>
      </c>
      <c r="G186" s="1" t="s">
        <v>561</v>
      </c>
      <c r="H186" t="str">
        <f t="shared" si="21"/>
        <v>3043</v>
      </c>
      <c r="I186" t="str">
        <f t="shared" si="22"/>
        <v>3</v>
      </c>
      <c r="J186" t="str">
        <f t="shared" si="23"/>
        <v>0</v>
      </c>
      <c r="K186" t="str">
        <f t="shared" si="24"/>
        <v>4</v>
      </c>
      <c r="L186" t="str">
        <f t="shared" si="25"/>
        <v>3</v>
      </c>
      <c r="M186" s="7" t="str">
        <f t="shared" si="26"/>
        <v>185,2021/9/17,3043,3,0,4,3</v>
      </c>
    </row>
    <row r="187" spans="1:13" ht="18" customHeight="1">
      <c r="A187" s="1" t="s">
        <v>563</v>
      </c>
      <c r="B187" s="1" t="s">
        <v>564</v>
      </c>
      <c r="C187" s="1" t="str">
        <f t="shared" si="18"/>
        <v xml:space="preserve">2021年9月20日 </v>
      </c>
      <c r="D187" s="1" t="s">
        <v>565</v>
      </c>
      <c r="E187" s="6" t="str">
        <f t="shared" si="19"/>
        <v>2021/9/20,</v>
      </c>
      <c r="F187" s="6" t="str">
        <f t="shared" si="20"/>
        <v>2021/9/20,</v>
      </c>
      <c r="G187" s="1" t="s">
        <v>564</v>
      </c>
      <c r="H187" t="str">
        <f t="shared" si="21"/>
        <v>8694</v>
      </c>
      <c r="I187" t="str">
        <f t="shared" si="22"/>
        <v>8</v>
      </c>
      <c r="J187" t="str">
        <f t="shared" si="23"/>
        <v>6</v>
      </c>
      <c r="K187" t="str">
        <f t="shared" si="24"/>
        <v>9</v>
      </c>
      <c r="L187" t="str">
        <f t="shared" si="25"/>
        <v>4</v>
      </c>
      <c r="M187" s="7" t="str">
        <f t="shared" si="26"/>
        <v>186,2021/9/20,8694,8,6,9,4</v>
      </c>
    </row>
    <row r="188" spans="1:13" ht="18" customHeight="1">
      <c r="A188" s="1" t="s">
        <v>566</v>
      </c>
      <c r="B188" s="1" t="s">
        <v>567</v>
      </c>
      <c r="C188" s="1" t="str">
        <f t="shared" si="18"/>
        <v xml:space="preserve">2021年9月21日 </v>
      </c>
      <c r="D188" s="1" t="s">
        <v>568</v>
      </c>
      <c r="E188" s="6" t="str">
        <f t="shared" si="19"/>
        <v>2021/9/21,</v>
      </c>
      <c r="F188" s="6" t="str">
        <f t="shared" si="20"/>
        <v>2021/9/21,</v>
      </c>
      <c r="G188" s="1" t="s">
        <v>567</v>
      </c>
      <c r="H188" t="str">
        <f t="shared" si="21"/>
        <v>6520</v>
      </c>
      <c r="I188" t="str">
        <f t="shared" si="22"/>
        <v>6</v>
      </c>
      <c r="J188" t="str">
        <f t="shared" si="23"/>
        <v>5</v>
      </c>
      <c r="K188" t="str">
        <f t="shared" si="24"/>
        <v>2</v>
      </c>
      <c r="L188" t="str">
        <f t="shared" si="25"/>
        <v>0</v>
      </c>
      <c r="M188" s="7" t="str">
        <f t="shared" si="26"/>
        <v>187,2021/9/21,6520,6,5,2,0</v>
      </c>
    </row>
    <row r="189" spans="1:13" ht="18" customHeight="1">
      <c r="A189" s="1" t="s">
        <v>569</v>
      </c>
      <c r="B189" s="1" t="s">
        <v>570</v>
      </c>
      <c r="C189" s="1" t="str">
        <f t="shared" si="18"/>
        <v xml:space="preserve">2021年9月22日 </v>
      </c>
      <c r="D189" s="1" t="s">
        <v>571</v>
      </c>
      <c r="E189" s="6" t="str">
        <f t="shared" si="19"/>
        <v>2021/9/22,</v>
      </c>
      <c r="F189" s="6" t="str">
        <f t="shared" si="20"/>
        <v>2021/9/22,</v>
      </c>
      <c r="G189" s="1" t="s">
        <v>570</v>
      </c>
      <c r="H189" t="str">
        <f t="shared" si="21"/>
        <v>4433</v>
      </c>
      <c r="I189" t="str">
        <f t="shared" si="22"/>
        <v>4</v>
      </c>
      <c r="J189" t="str">
        <f t="shared" si="23"/>
        <v>4</v>
      </c>
      <c r="K189" t="str">
        <f t="shared" si="24"/>
        <v>3</v>
      </c>
      <c r="L189" t="str">
        <f t="shared" si="25"/>
        <v>3</v>
      </c>
      <c r="M189" s="7" t="str">
        <f t="shared" si="26"/>
        <v>188,2021/9/22,4433,4,4,3,3</v>
      </c>
    </row>
    <row r="190" spans="1:13" ht="18" customHeight="1">
      <c r="A190" s="1" t="s">
        <v>572</v>
      </c>
      <c r="B190" s="1" t="s">
        <v>573</v>
      </c>
      <c r="C190" s="1" t="str">
        <f t="shared" si="18"/>
        <v xml:space="preserve">2021年9月23日 </v>
      </c>
      <c r="D190" s="1" t="s">
        <v>574</v>
      </c>
      <c r="E190" s="6" t="str">
        <f t="shared" si="19"/>
        <v>2021/9/23,</v>
      </c>
      <c r="F190" s="6" t="str">
        <f t="shared" si="20"/>
        <v>2021/9/23,</v>
      </c>
      <c r="G190" s="1" t="s">
        <v>573</v>
      </c>
      <c r="H190" t="str">
        <f t="shared" si="21"/>
        <v>0323</v>
      </c>
      <c r="I190" t="str">
        <f t="shared" si="22"/>
        <v>0</v>
      </c>
      <c r="J190" t="str">
        <f t="shared" si="23"/>
        <v>3</v>
      </c>
      <c r="K190" t="str">
        <f t="shared" si="24"/>
        <v>2</v>
      </c>
      <c r="L190" t="str">
        <f t="shared" si="25"/>
        <v>3</v>
      </c>
      <c r="M190" s="7" t="str">
        <f t="shared" si="26"/>
        <v>189,2021/9/23,0323,0,3,2,3</v>
      </c>
    </row>
    <row r="191" spans="1:13" ht="18" customHeight="1">
      <c r="A191" s="1" t="s">
        <v>575</v>
      </c>
      <c r="B191" s="1" t="s">
        <v>576</v>
      </c>
      <c r="C191" s="1" t="str">
        <f t="shared" si="18"/>
        <v xml:space="preserve">2021年9月24日 </v>
      </c>
      <c r="D191" s="1" t="s">
        <v>577</v>
      </c>
      <c r="E191" s="6" t="str">
        <f t="shared" si="19"/>
        <v>2021/9/24,</v>
      </c>
      <c r="F191" s="6" t="str">
        <f t="shared" si="20"/>
        <v>2021/9/24,</v>
      </c>
      <c r="G191" s="1" t="s">
        <v>576</v>
      </c>
      <c r="H191" t="str">
        <f t="shared" si="21"/>
        <v>2873</v>
      </c>
      <c r="I191" t="str">
        <f t="shared" si="22"/>
        <v>2</v>
      </c>
      <c r="J191" t="str">
        <f t="shared" si="23"/>
        <v>8</v>
      </c>
      <c r="K191" t="str">
        <f t="shared" si="24"/>
        <v>7</v>
      </c>
      <c r="L191" t="str">
        <f t="shared" si="25"/>
        <v>3</v>
      </c>
      <c r="M191" s="7" t="str">
        <f t="shared" si="26"/>
        <v>190,2021/9/24,2873,2,8,7,3</v>
      </c>
    </row>
    <row r="192" spans="1:13" ht="18" customHeight="1">
      <c r="A192" s="1" t="s">
        <v>578</v>
      </c>
      <c r="B192" s="1" t="s">
        <v>579</v>
      </c>
      <c r="C192" s="1" t="str">
        <f t="shared" si="18"/>
        <v xml:space="preserve">2021年9月27日 </v>
      </c>
      <c r="D192" s="1" t="s">
        <v>580</v>
      </c>
      <c r="E192" s="6" t="str">
        <f t="shared" si="19"/>
        <v>2021/9/27,</v>
      </c>
      <c r="F192" s="6" t="str">
        <f t="shared" si="20"/>
        <v>2021/9/27,</v>
      </c>
      <c r="G192" s="1" t="s">
        <v>579</v>
      </c>
      <c r="H192" t="str">
        <f t="shared" si="21"/>
        <v>6931</v>
      </c>
      <c r="I192" t="str">
        <f t="shared" si="22"/>
        <v>6</v>
      </c>
      <c r="J192" t="str">
        <f t="shared" si="23"/>
        <v>9</v>
      </c>
      <c r="K192" t="str">
        <f t="shared" si="24"/>
        <v>3</v>
      </c>
      <c r="L192" t="str">
        <f t="shared" si="25"/>
        <v>1</v>
      </c>
      <c r="M192" s="7" t="str">
        <f t="shared" si="26"/>
        <v>191,2021/9/27,6931,6,9,3,1</v>
      </c>
    </row>
    <row r="193" spans="1:13" ht="18" customHeight="1">
      <c r="A193" s="1" t="s">
        <v>581</v>
      </c>
      <c r="B193" s="1" t="s">
        <v>582</v>
      </c>
      <c r="C193" s="1" t="str">
        <f t="shared" si="18"/>
        <v xml:space="preserve">2021年9月28日 </v>
      </c>
      <c r="D193" s="1" t="s">
        <v>583</v>
      </c>
      <c r="E193" s="6" t="str">
        <f t="shared" si="19"/>
        <v>2021/9/28,</v>
      </c>
      <c r="F193" s="6" t="str">
        <f t="shared" si="20"/>
        <v>2021/9/28,</v>
      </c>
      <c r="G193" s="1" t="s">
        <v>582</v>
      </c>
      <c r="H193" t="str">
        <f t="shared" si="21"/>
        <v>6157</v>
      </c>
      <c r="I193" t="str">
        <f t="shared" si="22"/>
        <v>6</v>
      </c>
      <c r="J193" t="str">
        <f t="shared" si="23"/>
        <v>1</v>
      </c>
      <c r="K193" t="str">
        <f t="shared" si="24"/>
        <v>5</v>
      </c>
      <c r="L193" t="str">
        <f t="shared" si="25"/>
        <v>7</v>
      </c>
      <c r="M193" s="7" t="str">
        <f t="shared" si="26"/>
        <v>192,2021/9/28,6157,6,1,5,7</v>
      </c>
    </row>
    <row r="194" spans="1:13" ht="18" customHeight="1">
      <c r="A194" s="1" t="s">
        <v>584</v>
      </c>
      <c r="B194" s="1" t="s">
        <v>585</v>
      </c>
      <c r="C194" s="1" t="str">
        <f t="shared" si="18"/>
        <v xml:space="preserve">2021年9月29日 </v>
      </c>
      <c r="D194" s="1" t="s">
        <v>586</v>
      </c>
      <c r="E194" s="6" t="str">
        <f t="shared" si="19"/>
        <v>2021/9/29,</v>
      </c>
      <c r="F194" s="6" t="str">
        <f t="shared" si="20"/>
        <v>2021/9/29,</v>
      </c>
      <c r="G194" s="1" t="s">
        <v>585</v>
      </c>
      <c r="H194" t="str">
        <f t="shared" si="21"/>
        <v>4208</v>
      </c>
      <c r="I194" t="str">
        <f t="shared" si="22"/>
        <v>4</v>
      </c>
      <c r="J194" t="str">
        <f t="shared" si="23"/>
        <v>2</v>
      </c>
      <c r="K194" t="str">
        <f t="shared" si="24"/>
        <v>0</v>
      </c>
      <c r="L194" t="str">
        <f t="shared" si="25"/>
        <v>8</v>
      </c>
      <c r="M194" s="7" t="str">
        <f t="shared" si="26"/>
        <v>193,2021/9/29,4208,4,2,0,8</v>
      </c>
    </row>
    <row r="195" spans="1:13" ht="18" customHeight="1">
      <c r="A195" s="1" t="s">
        <v>587</v>
      </c>
      <c r="B195" s="1" t="s">
        <v>588</v>
      </c>
      <c r="C195" s="1" t="str">
        <f t="shared" ref="C195:C258" si="27">LEFT(B195,11)</f>
        <v xml:space="preserve">2021年9月30日 </v>
      </c>
      <c r="D195" s="1" t="s">
        <v>589</v>
      </c>
      <c r="E195" s="6" t="str">
        <f t="shared" ref="E195:E258" si="28">SUBSTITUTE(SUBSTITUTE(D195,"  ",""),"      ","")</f>
        <v>2021/9/30,</v>
      </c>
      <c r="F195" s="6" t="str">
        <f t="shared" ref="F195:F258" si="29">E195</f>
        <v>2021/9/30,</v>
      </c>
      <c r="G195" s="1" t="s">
        <v>588</v>
      </c>
      <c r="H195" t="str">
        <f t="shared" ref="H195:H258" si="30">RIGHT(B195,4)</f>
        <v>2691</v>
      </c>
      <c r="I195" t="str">
        <f t="shared" ref="I195:I258" si="31">LEFT(H195,1)</f>
        <v>2</v>
      </c>
      <c r="J195" t="str">
        <f t="shared" ref="J195:J258" si="32">MID(H195,2,1)</f>
        <v>6</v>
      </c>
      <c r="K195" t="str">
        <f t="shared" ref="K195:K258" si="33">MID(H195,3,1)</f>
        <v>9</v>
      </c>
      <c r="L195" t="str">
        <f t="shared" ref="L195:L258" si="34">RIGHT(H195,1)</f>
        <v>1</v>
      </c>
      <c r="M195" s="7" t="str">
        <f t="shared" ref="M195:M258" si="35">A195&amp;F195&amp;H195&amp;","&amp;I195&amp;","&amp;J195&amp;","&amp;K195&amp;","&amp;L195</f>
        <v>194,2021/9/30,2691,2,6,9,1</v>
      </c>
    </row>
    <row r="196" spans="1:13" ht="18" customHeight="1">
      <c r="A196" s="1" t="s">
        <v>590</v>
      </c>
      <c r="B196" s="1" t="s">
        <v>591</v>
      </c>
      <c r="C196" s="1" t="str">
        <f t="shared" si="27"/>
        <v xml:space="preserve">2021年10月1日 </v>
      </c>
      <c r="D196" s="1" t="s">
        <v>592</v>
      </c>
      <c r="E196" s="6" t="str">
        <f t="shared" si="28"/>
        <v>2021/10/1,</v>
      </c>
      <c r="F196" s="6" t="str">
        <f t="shared" si="29"/>
        <v>2021/10/1,</v>
      </c>
      <c r="G196" s="1" t="s">
        <v>591</v>
      </c>
      <c r="H196" t="str">
        <f t="shared" si="30"/>
        <v>9445</v>
      </c>
      <c r="I196" t="str">
        <f t="shared" si="31"/>
        <v>9</v>
      </c>
      <c r="J196" t="str">
        <f t="shared" si="32"/>
        <v>4</v>
      </c>
      <c r="K196" t="str">
        <f t="shared" si="33"/>
        <v>4</v>
      </c>
      <c r="L196" t="str">
        <f t="shared" si="34"/>
        <v>5</v>
      </c>
      <c r="M196" s="7" t="str">
        <f t="shared" si="35"/>
        <v>195,2021/10/1,9445,9,4,4,5</v>
      </c>
    </row>
    <row r="197" spans="1:13" ht="18" customHeight="1">
      <c r="A197" s="1" t="s">
        <v>593</v>
      </c>
      <c r="B197" s="1" t="s">
        <v>594</v>
      </c>
      <c r="C197" s="1" t="str">
        <f t="shared" si="27"/>
        <v xml:space="preserve">2021年10月4日 </v>
      </c>
      <c r="D197" s="1" t="s">
        <v>595</v>
      </c>
      <c r="E197" s="6" t="str">
        <f t="shared" si="28"/>
        <v>2021/10/4,</v>
      </c>
      <c r="F197" s="6" t="str">
        <f t="shared" si="29"/>
        <v>2021/10/4,</v>
      </c>
      <c r="G197" s="1" t="s">
        <v>594</v>
      </c>
      <c r="H197" t="str">
        <f t="shared" si="30"/>
        <v>3144</v>
      </c>
      <c r="I197" t="str">
        <f t="shared" si="31"/>
        <v>3</v>
      </c>
      <c r="J197" t="str">
        <f t="shared" si="32"/>
        <v>1</v>
      </c>
      <c r="K197" t="str">
        <f t="shared" si="33"/>
        <v>4</v>
      </c>
      <c r="L197" t="str">
        <f t="shared" si="34"/>
        <v>4</v>
      </c>
      <c r="M197" s="7" t="str">
        <f t="shared" si="35"/>
        <v>196,2021/10/4,3144,3,1,4,4</v>
      </c>
    </row>
    <row r="198" spans="1:13" ht="18" customHeight="1">
      <c r="A198" s="1" t="s">
        <v>596</v>
      </c>
      <c r="B198" s="1" t="s">
        <v>597</v>
      </c>
      <c r="C198" s="1" t="str">
        <f t="shared" si="27"/>
        <v xml:space="preserve">2021年10月5日 </v>
      </c>
      <c r="D198" s="1" t="s">
        <v>598</v>
      </c>
      <c r="E198" s="6" t="str">
        <f t="shared" si="28"/>
        <v>2021/10/5,</v>
      </c>
      <c r="F198" s="6" t="str">
        <f t="shared" si="29"/>
        <v>2021/10/5,</v>
      </c>
      <c r="G198" s="1" t="s">
        <v>597</v>
      </c>
      <c r="H198" t="str">
        <f t="shared" si="30"/>
        <v>3544</v>
      </c>
      <c r="I198" t="str">
        <f t="shared" si="31"/>
        <v>3</v>
      </c>
      <c r="J198" t="str">
        <f t="shared" si="32"/>
        <v>5</v>
      </c>
      <c r="K198" t="str">
        <f t="shared" si="33"/>
        <v>4</v>
      </c>
      <c r="L198" t="str">
        <f t="shared" si="34"/>
        <v>4</v>
      </c>
      <c r="M198" s="7" t="str">
        <f t="shared" si="35"/>
        <v>197,2021/10/5,3544,3,5,4,4</v>
      </c>
    </row>
    <row r="199" spans="1:13" ht="18" customHeight="1">
      <c r="A199" s="1" t="s">
        <v>599</v>
      </c>
      <c r="B199" s="1" t="s">
        <v>600</v>
      </c>
      <c r="C199" s="1" t="str">
        <f t="shared" si="27"/>
        <v xml:space="preserve">2021年10月6日 </v>
      </c>
      <c r="D199" s="1" t="s">
        <v>601</v>
      </c>
      <c r="E199" s="6" t="str">
        <f t="shared" si="28"/>
        <v>2021/10/6,</v>
      </c>
      <c r="F199" s="6" t="str">
        <f t="shared" si="29"/>
        <v>2021/10/6,</v>
      </c>
      <c r="G199" s="1" t="s">
        <v>600</v>
      </c>
      <c r="H199" t="str">
        <f t="shared" si="30"/>
        <v>8464</v>
      </c>
      <c r="I199" t="str">
        <f t="shared" si="31"/>
        <v>8</v>
      </c>
      <c r="J199" t="str">
        <f t="shared" si="32"/>
        <v>4</v>
      </c>
      <c r="K199" t="str">
        <f t="shared" si="33"/>
        <v>6</v>
      </c>
      <c r="L199" t="str">
        <f t="shared" si="34"/>
        <v>4</v>
      </c>
      <c r="M199" s="7" t="str">
        <f t="shared" si="35"/>
        <v>198,2021/10/6,8464,8,4,6,4</v>
      </c>
    </row>
    <row r="200" spans="1:13" ht="18" customHeight="1">
      <c r="A200" s="1" t="s">
        <v>602</v>
      </c>
      <c r="B200" s="1" t="s">
        <v>603</v>
      </c>
      <c r="C200" s="1" t="str">
        <f t="shared" si="27"/>
        <v xml:space="preserve">2021年10月7日 </v>
      </c>
      <c r="D200" s="1" t="s">
        <v>604</v>
      </c>
      <c r="E200" s="6" t="str">
        <f t="shared" si="28"/>
        <v>2021/10/7,</v>
      </c>
      <c r="F200" s="6" t="str">
        <f t="shared" si="29"/>
        <v>2021/10/7,</v>
      </c>
      <c r="G200" s="1" t="s">
        <v>603</v>
      </c>
      <c r="H200" t="str">
        <f t="shared" si="30"/>
        <v>7242</v>
      </c>
      <c r="I200" t="str">
        <f t="shared" si="31"/>
        <v>7</v>
      </c>
      <c r="J200" t="str">
        <f t="shared" si="32"/>
        <v>2</v>
      </c>
      <c r="K200" t="str">
        <f t="shared" si="33"/>
        <v>4</v>
      </c>
      <c r="L200" t="str">
        <f t="shared" si="34"/>
        <v>2</v>
      </c>
      <c r="M200" s="7" t="str">
        <f t="shared" si="35"/>
        <v>199,2021/10/7,7242,7,2,4,2</v>
      </c>
    </row>
    <row r="201" spans="1:13" ht="18" customHeight="1">
      <c r="A201" s="1" t="s">
        <v>605</v>
      </c>
      <c r="B201" s="1" t="s">
        <v>606</v>
      </c>
      <c r="C201" s="1" t="str">
        <f t="shared" si="27"/>
        <v xml:space="preserve">2021年10月8日 </v>
      </c>
      <c r="D201" s="1" t="s">
        <v>607</v>
      </c>
      <c r="E201" s="6" t="str">
        <f t="shared" si="28"/>
        <v>2021/10/8,</v>
      </c>
      <c r="F201" s="6" t="str">
        <f t="shared" si="29"/>
        <v>2021/10/8,</v>
      </c>
      <c r="G201" s="1" t="s">
        <v>606</v>
      </c>
      <c r="H201" t="str">
        <f t="shared" si="30"/>
        <v>5041</v>
      </c>
      <c r="I201" t="str">
        <f t="shared" si="31"/>
        <v>5</v>
      </c>
      <c r="J201" t="str">
        <f t="shared" si="32"/>
        <v>0</v>
      </c>
      <c r="K201" t="str">
        <f t="shared" si="33"/>
        <v>4</v>
      </c>
      <c r="L201" t="str">
        <f t="shared" si="34"/>
        <v>1</v>
      </c>
      <c r="M201" s="7" t="str">
        <f t="shared" si="35"/>
        <v>200,2021/10/8,5041,5,0,4,1</v>
      </c>
    </row>
    <row r="202" spans="1:13" ht="18" customHeight="1">
      <c r="A202" s="1" t="s">
        <v>608</v>
      </c>
      <c r="B202" s="1" t="s">
        <v>609</v>
      </c>
      <c r="C202" s="1" t="str">
        <f t="shared" si="27"/>
        <v>2021年10月11日</v>
      </c>
      <c r="D202" s="1" t="s">
        <v>610</v>
      </c>
      <c r="E202" s="6" t="str">
        <f t="shared" si="28"/>
        <v>2021/10/11,</v>
      </c>
      <c r="F202" s="6" t="str">
        <f t="shared" si="29"/>
        <v>2021/10/11,</v>
      </c>
      <c r="G202" s="1" t="s">
        <v>609</v>
      </c>
      <c r="H202" t="str">
        <f t="shared" si="30"/>
        <v>1848</v>
      </c>
      <c r="I202" t="str">
        <f t="shared" si="31"/>
        <v>1</v>
      </c>
      <c r="J202" t="str">
        <f t="shared" si="32"/>
        <v>8</v>
      </c>
      <c r="K202" t="str">
        <f t="shared" si="33"/>
        <v>4</v>
      </c>
      <c r="L202" t="str">
        <f t="shared" si="34"/>
        <v>8</v>
      </c>
      <c r="M202" s="7" t="str">
        <f t="shared" si="35"/>
        <v>201,2021/10/11,1848,1,8,4,8</v>
      </c>
    </row>
    <row r="203" spans="1:13" ht="18" customHeight="1">
      <c r="A203" s="1" t="s">
        <v>611</v>
      </c>
      <c r="B203" s="1" t="s">
        <v>612</v>
      </c>
      <c r="C203" s="1" t="str">
        <f t="shared" si="27"/>
        <v>2021年10月12日</v>
      </c>
      <c r="D203" s="1" t="s">
        <v>613</v>
      </c>
      <c r="E203" s="6" t="str">
        <f t="shared" si="28"/>
        <v>2021/10/12,</v>
      </c>
      <c r="F203" s="6" t="str">
        <f t="shared" si="29"/>
        <v>2021/10/12,</v>
      </c>
      <c r="G203" s="1" t="s">
        <v>612</v>
      </c>
      <c r="H203" t="str">
        <f t="shared" si="30"/>
        <v>0563</v>
      </c>
      <c r="I203" t="str">
        <f t="shared" si="31"/>
        <v>0</v>
      </c>
      <c r="J203" t="str">
        <f t="shared" si="32"/>
        <v>5</v>
      </c>
      <c r="K203" t="str">
        <f t="shared" si="33"/>
        <v>6</v>
      </c>
      <c r="L203" t="str">
        <f t="shared" si="34"/>
        <v>3</v>
      </c>
      <c r="M203" s="7" t="str">
        <f t="shared" si="35"/>
        <v>202,2021/10/12,0563,0,5,6,3</v>
      </c>
    </row>
    <row r="204" spans="1:13" ht="18" customHeight="1">
      <c r="A204" s="1" t="s">
        <v>614</v>
      </c>
      <c r="B204" s="1" t="s">
        <v>615</v>
      </c>
      <c r="C204" s="1" t="str">
        <f t="shared" si="27"/>
        <v>2021年10月13日</v>
      </c>
      <c r="D204" s="1" t="s">
        <v>616</v>
      </c>
      <c r="E204" s="6" t="str">
        <f t="shared" si="28"/>
        <v>2021/10/13,</v>
      </c>
      <c r="F204" s="6" t="str">
        <f t="shared" si="29"/>
        <v>2021/10/13,</v>
      </c>
      <c r="G204" s="1" t="s">
        <v>615</v>
      </c>
      <c r="H204" t="str">
        <f t="shared" si="30"/>
        <v>9395</v>
      </c>
      <c r="I204" t="str">
        <f t="shared" si="31"/>
        <v>9</v>
      </c>
      <c r="J204" t="str">
        <f t="shared" si="32"/>
        <v>3</v>
      </c>
      <c r="K204" t="str">
        <f t="shared" si="33"/>
        <v>9</v>
      </c>
      <c r="L204" t="str">
        <f t="shared" si="34"/>
        <v>5</v>
      </c>
      <c r="M204" s="7" t="str">
        <f t="shared" si="35"/>
        <v>203,2021/10/13,9395,9,3,9,5</v>
      </c>
    </row>
    <row r="205" spans="1:13" ht="18" customHeight="1">
      <c r="A205" s="1" t="s">
        <v>617</v>
      </c>
      <c r="B205" s="1" t="s">
        <v>618</v>
      </c>
      <c r="C205" s="1" t="str">
        <f t="shared" si="27"/>
        <v>2021年10月14日</v>
      </c>
      <c r="D205" s="1" t="s">
        <v>619</v>
      </c>
      <c r="E205" s="6" t="str">
        <f t="shared" si="28"/>
        <v>2021/10/14,</v>
      </c>
      <c r="F205" s="6" t="str">
        <f t="shared" si="29"/>
        <v>2021/10/14,</v>
      </c>
      <c r="G205" s="1" t="s">
        <v>618</v>
      </c>
      <c r="H205" t="str">
        <f t="shared" si="30"/>
        <v>0436</v>
      </c>
      <c r="I205" t="str">
        <f t="shared" si="31"/>
        <v>0</v>
      </c>
      <c r="J205" t="str">
        <f t="shared" si="32"/>
        <v>4</v>
      </c>
      <c r="K205" t="str">
        <f t="shared" si="33"/>
        <v>3</v>
      </c>
      <c r="L205" t="str">
        <f t="shared" si="34"/>
        <v>6</v>
      </c>
      <c r="M205" s="7" t="str">
        <f t="shared" si="35"/>
        <v>204,2021/10/14,0436,0,4,3,6</v>
      </c>
    </row>
    <row r="206" spans="1:13" ht="18" customHeight="1">
      <c r="A206" s="1" t="s">
        <v>620</v>
      </c>
      <c r="B206" s="1" t="s">
        <v>621</v>
      </c>
      <c r="C206" s="1" t="str">
        <f t="shared" si="27"/>
        <v>2021年10月15日</v>
      </c>
      <c r="D206" s="1" t="s">
        <v>622</v>
      </c>
      <c r="E206" s="6" t="str">
        <f t="shared" si="28"/>
        <v>2021/10/15,</v>
      </c>
      <c r="F206" s="6" t="str">
        <f t="shared" si="29"/>
        <v>2021/10/15,</v>
      </c>
      <c r="G206" s="1" t="s">
        <v>621</v>
      </c>
      <c r="H206" t="str">
        <f t="shared" si="30"/>
        <v>2892</v>
      </c>
      <c r="I206" t="str">
        <f t="shared" si="31"/>
        <v>2</v>
      </c>
      <c r="J206" t="str">
        <f t="shared" si="32"/>
        <v>8</v>
      </c>
      <c r="K206" t="str">
        <f t="shared" si="33"/>
        <v>9</v>
      </c>
      <c r="L206" t="str">
        <f t="shared" si="34"/>
        <v>2</v>
      </c>
      <c r="M206" s="7" t="str">
        <f t="shared" si="35"/>
        <v>205,2021/10/15,2892,2,8,9,2</v>
      </c>
    </row>
    <row r="207" spans="1:13" ht="18" customHeight="1">
      <c r="A207" s="1" t="s">
        <v>623</v>
      </c>
      <c r="B207" s="1" t="s">
        <v>624</v>
      </c>
      <c r="C207" s="1" t="str">
        <f t="shared" si="27"/>
        <v>2021年10月18日</v>
      </c>
      <c r="D207" s="1" t="s">
        <v>625</v>
      </c>
      <c r="E207" s="6" t="str">
        <f t="shared" si="28"/>
        <v>2021/10/18,</v>
      </c>
      <c r="F207" s="6" t="str">
        <f t="shared" si="29"/>
        <v>2021/10/18,</v>
      </c>
      <c r="G207" s="1" t="s">
        <v>624</v>
      </c>
      <c r="H207" t="str">
        <f t="shared" si="30"/>
        <v>4201</v>
      </c>
      <c r="I207" t="str">
        <f t="shared" si="31"/>
        <v>4</v>
      </c>
      <c r="J207" t="str">
        <f t="shared" si="32"/>
        <v>2</v>
      </c>
      <c r="K207" t="str">
        <f t="shared" si="33"/>
        <v>0</v>
      </c>
      <c r="L207" t="str">
        <f t="shared" si="34"/>
        <v>1</v>
      </c>
      <c r="M207" s="7" t="str">
        <f t="shared" si="35"/>
        <v>206,2021/10/18,4201,4,2,0,1</v>
      </c>
    </row>
    <row r="208" spans="1:13" ht="18" customHeight="1">
      <c r="A208" s="1" t="s">
        <v>626</v>
      </c>
      <c r="B208" s="1" t="s">
        <v>627</v>
      </c>
      <c r="C208" s="1" t="str">
        <f t="shared" si="27"/>
        <v>2021年10月19日</v>
      </c>
      <c r="D208" s="1" t="s">
        <v>628</v>
      </c>
      <c r="E208" s="6" t="str">
        <f t="shared" si="28"/>
        <v>2021/10/19,</v>
      </c>
      <c r="F208" s="6" t="str">
        <f t="shared" si="29"/>
        <v>2021/10/19,</v>
      </c>
      <c r="G208" s="1" t="s">
        <v>627</v>
      </c>
      <c r="H208" t="str">
        <f t="shared" si="30"/>
        <v>6058</v>
      </c>
      <c r="I208" t="str">
        <f t="shared" si="31"/>
        <v>6</v>
      </c>
      <c r="J208" t="str">
        <f t="shared" si="32"/>
        <v>0</v>
      </c>
      <c r="K208" t="str">
        <f t="shared" si="33"/>
        <v>5</v>
      </c>
      <c r="L208" t="str">
        <f t="shared" si="34"/>
        <v>8</v>
      </c>
      <c r="M208" s="7" t="str">
        <f t="shared" si="35"/>
        <v>207,2021/10/19,6058,6,0,5,8</v>
      </c>
    </row>
    <row r="209" spans="1:13" ht="18" customHeight="1">
      <c r="A209" s="1" t="s">
        <v>629</v>
      </c>
      <c r="B209" s="1" t="s">
        <v>630</v>
      </c>
      <c r="C209" s="1" t="str">
        <f t="shared" si="27"/>
        <v>2021年10月20日</v>
      </c>
      <c r="D209" s="1" t="s">
        <v>631</v>
      </c>
      <c r="E209" s="6" t="str">
        <f t="shared" si="28"/>
        <v>2021/10/20,</v>
      </c>
      <c r="F209" s="6" t="str">
        <f t="shared" si="29"/>
        <v>2021/10/20,</v>
      </c>
      <c r="G209" s="1" t="s">
        <v>630</v>
      </c>
      <c r="H209" t="str">
        <f t="shared" si="30"/>
        <v>1109</v>
      </c>
      <c r="I209" t="str">
        <f t="shared" si="31"/>
        <v>1</v>
      </c>
      <c r="J209" t="str">
        <f t="shared" si="32"/>
        <v>1</v>
      </c>
      <c r="K209" t="str">
        <f t="shared" si="33"/>
        <v>0</v>
      </c>
      <c r="L209" t="str">
        <f t="shared" si="34"/>
        <v>9</v>
      </c>
      <c r="M209" s="7" t="str">
        <f t="shared" si="35"/>
        <v>208,2021/10/20,1109,1,1,0,9</v>
      </c>
    </row>
    <row r="210" spans="1:13" ht="18" customHeight="1">
      <c r="A210" s="1" t="s">
        <v>632</v>
      </c>
      <c r="B210" s="1" t="s">
        <v>633</v>
      </c>
      <c r="C210" s="1" t="str">
        <f t="shared" si="27"/>
        <v>2021年10月21日</v>
      </c>
      <c r="D210" s="1" t="s">
        <v>634</v>
      </c>
      <c r="E210" s="6" t="str">
        <f t="shared" si="28"/>
        <v>2021/10/21,</v>
      </c>
      <c r="F210" s="6" t="str">
        <f t="shared" si="29"/>
        <v>2021/10/21,</v>
      </c>
      <c r="G210" s="1" t="s">
        <v>633</v>
      </c>
      <c r="H210" t="str">
        <f t="shared" si="30"/>
        <v>4825</v>
      </c>
      <c r="I210" t="str">
        <f t="shared" si="31"/>
        <v>4</v>
      </c>
      <c r="J210" t="str">
        <f t="shared" si="32"/>
        <v>8</v>
      </c>
      <c r="K210" t="str">
        <f t="shared" si="33"/>
        <v>2</v>
      </c>
      <c r="L210" t="str">
        <f t="shared" si="34"/>
        <v>5</v>
      </c>
      <c r="M210" s="7" t="str">
        <f t="shared" si="35"/>
        <v>209,2021/10/21,4825,4,8,2,5</v>
      </c>
    </row>
    <row r="211" spans="1:13" ht="18" customHeight="1">
      <c r="A211" s="1" t="s">
        <v>635</v>
      </c>
      <c r="B211" s="1" t="s">
        <v>636</v>
      </c>
      <c r="C211" s="1" t="str">
        <f t="shared" si="27"/>
        <v>2021年10月22日</v>
      </c>
      <c r="D211" s="1" t="s">
        <v>637</v>
      </c>
      <c r="E211" s="6" t="str">
        <f t="shared" si="28"/>
        <v>2021/10/22,</v>
      </c>
      <c r="F211" s="6" t="str">
        <f t="shared" si="29"/>
        <v>2021/10/22,</v>
      </c>
      <c r="G211" s="1" t="s">
        <v>636</v>
      </c>
      <c r="H211" t="str">
        <f t="shared" si="30"/>
        <v>1869</v>
      </c>
      <c r="I211" t="str">
        <f t="shared" si="31"/>
        <v>1</v>
      </c>
      <c r="J211" t="str">
        <f t="shared" si="32"/>
        <v>8</v>
      </c>
      <c r="K211" t="str">
        <f t="shared" si="33"/>
        <v>6</v>
      </c>
      <c r="L211" t="str">
        <f t="shared" si="34"/>
        <v>9</v>
      </c>
      <c r="M211" s="7" t="str">
        <f t="shared" si="35"/>
        <v>210,2021/10/22,1869,1,8,6,9</v>
      </c>
    </row>
    <row r="212" spans="1:13" ht="18" customHeight="1">
      <c r="A212" s="1" t="s">
        <v>638</v>
      </c>
      <c r="B212" s="1" t="s">
        <v>639</v>
      </c>
      <c r="C212" s="1" t="str">
        <f t="shared" si="27"/>
        <v>2021年10月25日</v>
      </c>
      <c r="D212" s="1" t="s">
        <v>640</v>
      </c>
      <c r="E212" s="6" t="str">
        <f t="shared" si="28"/>
        <v>2021/10/25,</v>
      </c>
      <c r="F212" s="6" t="str">
        <f t="shared" si="29"/>
        <v>2021/10/25,</v>
      </c>
      <c r="G212" s="1" t="s">
        <v>639</v>
      </c>
      <c r="H212" t="str">
        <f t="shared" si="30"/>
        <v>2370</v>
      </c>
      <c r="I212" t="str">
        <f t="shared" si="31"/>
        <v>2</v>
      </c>
      <c r="J212" t="str">
        <f t="shared" si="32"/>
        <v>3</v>
      </c>
      <c r="K212" t="str">
        <f t="shared" si="33"/>
        <v>7</v>
      </c>
      <c r="L212" t="str">
        <f t="shared" si="34"/>
        <v>0</v>
      </c>
      <c r="M212" s="7" t="str">
        <f t="shared" si="35"/>
        <v>211,2021/10/25,2370,2,3,7,0</v>
      </c>
    </row>
    <row r="213" spans="1:13" ht="18" customHeight="1">
      <c r="A213" s="1" t="s">
        <v>641</v>
      </c>
      <c r="B213" s="1" t="s">
        <v>642</v>
      </c>
      <c r="C213" s="1" t="str">
        <f t="shared" si="27"/>
        <v>2021年10月26日</v>
      </c>
      <c r="D213" s="1" t="s">
        <v>643</v>
      </c>
      <c r="E213" s="6" t="str">
        <f t="shared" si="28"/>
        <v>2021/10/26,</v>
      </c>
      <c r="F213" s="6" t="str">
        <f t="shared" si="29"/>
        <v>2021/10/26,</v>
      </c>
      <c r="G213" s="1" t="s">
        <v>642</v>
      </c>
      <c r="H213" t="str">
        <f t="shared" si="30"/>
        <v>6918</v>
      </c>
      <c r="I213" t="str">
        <f t="shared" si="31"/>
        <v>6</v>
      </c>
      <c r="J213" t="str">
        <f t="shared" si="32"/>
        <v>9</v>
      </c>
      <c r="K213" t="str">
        <f t="shared" si="33"/>
        <v>1</v>
      </c>
      <c r="L213" t="str">
        <f t="shared" si="34"/>
        <v>8</v>
      </c>
      <c r="M213" s="7" t="str">
        <f t="shared" si="35"/>
        <v>212,2021/10/26,6918,6,9,1,8</v>
      </c>
    </row>
    <row r="214" spans="1:13" ht="18" customHeight="1">
      <c r="A214" s="1" t="s">
        <v>644</v>
      </c>
      <c r="B214" s="1" t="s">
        <v>645</v>
      </c>
      <c r="C214" s="1" t="str">
        <f t="shared" si="27"/>
        <v>2021年10月27日</v>
      </c>
      <c r="D214" s="1" t="s">
        <v>646</v>
      </c>
      <c r="E214" s="6" t="str">
        <f t="shared" si="28"/>
        <v>2021/10/27,</v>
      </c>
      <c r="F214" s="6" t="str">
        <f t="shared" si="29"/>
        <v>2021/10/27,</v>
      </c>
      <c r="G214" s="1" t="s">
        <v>645</v>
      </c>
      <c r="H214" t="str">
        <f t="shared" si="30"/>
        <v>5476</v>
      </c>
      <c r="I214" t="str">
        <f t="shared" si="31"/>
        <v>5</v>
      </c>
      <c r="J214" t="str">
        <f t="shared" si="32"/>
        <v>4</v>
      </c>
      <c r="K214" t="str">
        <f t="shared" si="33"/>
        <v>7</v>
      </c>
      <c r="L214" t="str">
        <f t="shared" si="34"/>
        <v>6</v>
      </c>
      <c r="M214" s="7" t="str">
        <f t="shared" si="35"/>
        <v>213,2021/10/27,5476,5,4,7,6</v>
      </c>
    </row>
    <row r="215" spans="1:13" ht="18" customHeight="1">
      <c r="A215" s="1" t="s">
        <v>647</v>
      </c>
      <c r="B215" s="1" t="s">
        <v>648</v>
      </c>
      <c r="C215" s="1" t="str">
        <f t="shared" si="27"/>
        <v>2021年10月28日</v>
      </c>
      <c r="D215" s="1" t="s">
        <v>649</v>
      </c>
      <c r="E215" s="6" t="str">
        <f t="shared" si="28"/>
        <v>2021/10/28,</v>
      </c>
      <c r="F215" s="6" t="str">
        <f t="shared" si="29"/>
        <v>2021/10/28,</v>
      </c>
      <c r="G215" s="1" t="s">
        <v>648</v>
      </c>
      <c r="H215" t="str">
        <f t="shared" si="30"/>
        <v>9442</v>
      </c>
      <c r="I215" t="str">
        <f t="shared" si="31"/>
        <v>9</v>
      </c>
      <c r="J215" t="str">
        <f t="shared" si="32"/>
        <v>4</v>
      </c>
      <c r="K215" t="str">
        <f t="shared" si="33"/>
        <v>4</v>
      </c>
      <c r="L215" t="str">
        <f t="shared" si="34"/>
        <v>2</v>
      </c>
      <c r="M215" s="7" t="str">
        <f t="shared" si="35"/>
        <v>214,2021/10/28,9442,9,4,4,2</v>
      </c>
    </row>
    <row r="216" spans="1:13" ht="18" customHeight="1">
      <c r="A216" s="1" t="s">
        <v>650</v>
      </c>
      <c r="B216" s="1" t="s">
        <v>651</v>
      </c>
      <c r="C216" s="1" t="str">
        <f t="shared" si="27"/>
        <v>2021年10月29日</v>
      </c>
      <c r="D216" s="1" t="s">
        <v>652</v>
      </c>
      <c r="E216" s="6" t="str">
        <f t="shared" si="28"/>
        <v>2021/10/29,</v>
      </c>
      <c r="F216" s="6" t="str">
        <f t="shared" si="29"/>
        <v>2021/10/29,</v>
      </c>
      <c r="G216" s="1" t="s">
        <v>651</v>
      </c>
      <c r="H216" t="str">
        <f t="shared" si="30"/>
        <v>2850</v>
      </c>
      <c r="I216" t="str">
        <f t="shared" si="31"/>
        <v>2</v>
      </c>
      <c r="J216" t="str">
        <f t="shared" si="32"/>
        <v>8</v>
      </c>
      <c r="K216" t="str">
        <f t="shared" si="33"/>
        <v>5</v>
      </c>
      <c r="L216" t="str">
        <f t="shared" si="34"/>
        <v>0</v>
      </c>
      <c r="M216" s="7" t="str">
        <f t="shared" si="35"/>
        <v>215,2021/10/29,2850,2,8,5,0</v>
      </c>
    </row>
    <row r="217" spans="1:13" ht="18" customHeight="1">
      <c r="A217" s="1" t="s">
        <v>653</v>
      </c>
      <c r="B217" s="1" t="s">
        <v>654</v>
      </c>
      <c r="C217" s="1" t="str">
        <f t="shared" si="27"/>
        <v xml:space="preserve">2021年11月1日 </v>
      </c>
      <c r="D217" s="1" t="s">
        <v>655</v>
      </c>
      <c r="E217" s="6" t="str">
        <f t="shared" si="28"/>
        <v>2021/11/1,</v>
      </c>
      <c r="F217" s="6" t="str">
        <f t="shared" si="29"/>
        <v>2021/11/1,</v>
      </c>
      <c r="G217" s="1" t="s">
        <v>654</v>
      </c>
      <c r="H217" t="str">
        <f t="shared" si="30"/>
        <v>7063</v>
      </c>
      <c r="I217" t="str">
        <f t="shared" si="31"/>
        <v>7</v>
      </c>
      <c r="J217" t="str">
        <f t="shared" si="32"/>
        <v>0</v>
      </c>
      <c r="K217" t="str">
        <f t="shared" si="33"/>
        <v>6</v>
      </c>
      <c r="L217" t="str">
        <f t="shared" si="34"/>
        <v>3</v>
      </c>
      <c r="M217" s="7" t="str">
        <f t="shared" si="35"/>
        <v>216,2021/11/1,7063,7,0,6,3</v>
      </c>
    </row>
    <row r="218" spans="1:13" ht="18" customHeight="1">
      <c r="A218" s="1" t="s">
        <v>656</v>
      </c>
      <c r="B218" s="1" t="s">
        <v>657</v>
      </c>
      <c r="C218" s="1" t="str">
        <f t="shared" si="27"/>
        <v xml:space="preserve">2021年11月2日 </v>
      </c>
      <c r="D218" s="1" t="s">
        <v>658</v>
      </c>
      <c r="E218" s="6" t="str">
        <f t="shared" si="28"/>
        <v>2021/11/2,</v>
      </c>
      <c r="F218" s="6" t="str">
        <f t="shared" si="29"/>
        <v>2021/11/2,</v>
      </c>
      <c r="G218" s="1" t="s">
        <v>657</v>
      </c>
      <c r="H218" t="str">
        <f t="shared" si="30"/>
        <v>5133</v>
      </c>
      <c r="I218" t="str">
        <f t="shared" si="31"/>
        <v>5</v>
      </c>
      <c r="J218" t="str">
        <f t="shared" si="32"/>
        <v>1</v>
      </c>
      <c r="K218" t="str">
        <f t="shared" si="33"/>
        <v>3</v>
      </c>
      <c r="L218" t="str">
        <f t="shared" si="34"/>
        <v>3</v>
      </c>
      <c r="M218" s="7" t="str">
        <f t="shared" si="35"/>
        <v>217,2021/11/2,5133,5,1,3,3</v>
      </c>
    </row>
    <row r="219" spans="1:13" ht="18" customHeight="1">
      <c r="A219" s="1" t="s">
        <v>659</v>
      </c>
      <c r="B219" s="1" t="s">
        <v>660</v>
      </c>
      <c r="C219" s="1" t="str">
        <f t="shared" si="27"/>
        <v xml:space="preserve">2021年11月3日 </v>
      </c>
      <c r="D219" s="1" t="s">
        <v>661</v>
      </c>
      <c r="E219" s="6" t="str">
        <f t="shared" si="28"/>
        <v>2021/11/3,</v>
      </c>
      <c r="F219" s="6" t="str">
        <f t="shared" si="29"/>
        <v>2021/11/3,</v>
      </c>
      <c r="G219" s="1" t="s">
        <v>660</v>
      </c>
      <c r="H219" t="str">
        <f t="shared" si="30"/>
        <v>7902</v>
      </c>
      <c r="I219" t="str">
        <f t="shared" si="31"/>
        <v>7</v>
      </c>
      <c r="J219" t="str">
        <f t="shared" si="32"/>
        <v>9</v>
      </c>
      <c r="K219" t="str">
        <f t="shared" si="33"/>
        <v>0</v>
      </c>
      <c r="L219" t="str">
        <f t="shared" si="34"/>
        <v>2</v>
      </c>
      <c r="M219" s="7" t="str">
        <f t="shared" si="35"/>
        <v>218,2021/11/3,7902,7,9,0,2</v>
      </c>
    </row>
    <row r="220" spans="1:13" ht="18" customHeight="1">
      <c r="A220" s="1" t="s">
        <v>662</v>
      </c>
      <c r="B220" s="1" t="s">
        <v>663</v>
      </c>
      <c r="C220" s="1" t="str">
        <f t="shared" si="27"/>
        <v xml:space="preserve">2021年11月4日 </v>
      </c>
      <c r="D220" s="1" t="s">
        <v>664</v>
      </c>
      <c r="E220" s="6" t="str">
        <f t="shared" si="28"/>
        <v>2021/11/4,</v>
      </c>
      <c r="F220" s="6" t="str">
        <f t="shared" si="29"/>
        <v>2021/11/4,</v>
      </c>
      <c r="G220" s="1" t="s">
        <v>663</v>
      </c>
      <c r="H220" t="str">
        <f t="shared" si="30"/>
        <v>9021</v>
      </c>
      <c r="I220" t="str">
        <f t="shared" si="31"/>
        <v>9</v>
      </c>
      <c r="J220" t="str">
        <f t="shared" si="32"/>
        <v>0</v>
      </c>
      <c r="K220" t="str">
        <f t="shared" si="33"/>
        <v>2</v>
      </c>
      <c r="L220" t="str">
        <f t="shared" si="34"/>
        <v>1</v>
      </c>
      <c r="M220" s="7" t="str">
        <f t="shared" si="35"/>
        <v>219,2021/11/4,9021,9,0,2,1</v>
      </c>
    </row>
    <row r="221" spans="1:13" ht="18" customHeight="1">
      <c r="A221" s="1" t="s">
        <v>665</v>
      </c>
      <c r="B221" s="1" t="s">
        <v>666</v>
      </c>
      <c r="C221" s="1" t="str">
        <f t="shared" si="27"/>
        <v xml:space="preserve">2021年11月5日 </v>
      </c>
      <c r="D221" s="1" t="s">
        <v>667</v>
      </c>
      <c r="E221" s="6" t="str">
        <f t="shared" si="28"/>
        <v>2021/11/5,</v>
      </c>
      <c r="F221" s="6" t="str">
        <f t="shared" si="29"/>
        <v>2021/11/5,</v>
      </c>
      <c r="G221" s="1" t="s">
        <v>666</v>
      </c>
      <c r="H221" t="str">
        <f t="shared" si="30"/>
        <v>3713</v>
      </c>
      <c r="I221" t="str">
        <f t="shared" si="31"/>
        <v>3</v>
      </c>
      <c r="J221" t="str">
        <f t="shared" si="32"/>
        <v>7</v>
      </c>
      <c r="K221" t="str">
        <f t="shared" si="33"/>
        <v>1</v>
      </c>
      <c r="L221" t="str">
        <f t="shared" si="34"/>
        <v>3</v>
      </c>
      <c r="M221" s="7" t="str">
        <f t="shared" si="35"/>
        <v>220,2021/11/5,3713,3,7,1,3</v>
      </c>
    </row>
    <row r="222" spans="1:13" ht="18" customHeight="1">
      <c r="A222" s="1" t="s">
        <v>668</v>
      </c>
      <c r="B222" s="1" t="s">
        <v>669</v>
      </c>
      <c r="C222" s="1" t="str">
        <f t="shared" si="27"/>
        <v xml:space="preserve">2021年11月8日 </v>
      </c>
      <c r="D222" s="1" t="s">
        <v>670</v>
      </c>
      <c r="E222" s="6" t="str">
        <f t="shared" si="28"/>
        <v>2021/11/8,</v>
      </c>
      <c r="F222" s="6" t="str">
        <f t="shared" si="29"/>
        <v>2021/11/8,</v>
      </c>
      <c r="G222" s="1" t="s">
        <v>669</v>
      </c>
      <c r="H222" t="str">
        <f t="shared" si="30"/>
        <v>1089</v>
      </c>
      <c r="I222" t="str">
        <f t="shared" si="31"/>
        <v>1</v>
      </c>
      <c r="J222" t="str">
        <f t="shared" si="32"/>
        <v>0</v>
      </c>
      <c r="K222" t="str">
        <f t="shared" si="33"/>
        <v>8</v>
      </c>
      <c r="L222" t="str">
        <f t="shared" si="34"/>
        <v>9</v>
      </c>
      <c r="M222" s="7" t="str">
        <f t="shared" si="35"/>
        <v>221,2021/11/8,1089,1,0,8,9</v>
      </c>
    </row>
    <row r="223" spans="1:13" ht="18" customHeight="1">
      <c r="A223" s="1" t="s">
        <v>671</v>
      </c>
      <c r="B223" s="1" t="s">
        <v>672</v>
      </c>
      <c r="C223" s="1" t="str">
        <f t="shared" si="27"/>
        <v xml:space="preserve">2021年11月9日 </v>
      </c>
      <c r="D223" s="1" t="s">
        <v>673</v>
      </c>
      <c r="E223" s="6" t="str">
        <f t="shared" si="28"/>
        <v>2021/11/9,</v>
      </c>
      <c r="F223" s="6" t="str">
        <f t="shared" si="29"/>
        <v>2021/11/9,</v>
      </c>
      <c r="G223" s="1" t="s">
        <v>672</v>
      </c>
      <c r="H223" t="str">
        <f t="shared" si="30"/>
        <v>2121</v>
      </c>
      <c r="I223" t="str">
        <f t="shared" si="31"/>
        <v>2</v>
      </c>
      <c r="J223" t="str">
        <f t="shared" si="32"/>
        <v>1</v>
      </c>
      <c r="K223" t="str">
        <f t="shared" si="33"/>
        <v>2</v>
      </c>
      <c r="L223" t="str">
        <f t="shared" si="34"/>
        <v>1</v>
      </c>
      <c r="M223" s="7" t="str">
        <f t="shared" si="35"/>
        <v>222,2021/11/9,2121,2,1,2,1</v>
      </c>
    </row>
    <row r="224" spans="1:13" ht="18" customHeight="1">
      <c r="A224" s="1" t="s">
        <v>674</v>
      </c>
      <c r="B224" s="4" t="s">
        <v>675</v>
      </c>
      <c r="C224" s="1" t="str">
        <f t="shared" si="27"/>
        <v>2021年11月10日</v>
      </c>
      <c r="D224" s="1" t="s">
        <v>676</v>
      </c>
      <c r="E224" s="6" t="str">
        <f t="shared" si="28"/>
        <v>2021/11/10,</v>
      </c>
      <c r="F224" s="6" t="str">
        <f t="shared" si="29"/>
        <v>2021/11/10,</v>
      </c>
      <c r="G224" s="4" t="s">
        <v>675</v>
      </c>
      <c r="H224" t="str">
        <f t="shared" si="30"/>
        <v>9319</v>
      </c>
      <c r="I224" t="str">
        <f t="shared" si="31"/>
        <v>9</v>
      </c>
      <c r="J224" t="str">
        <f t="shared" si="32"/>
        <v>3</v>
      </c>
      <c r="K224" t="str">
        <f t="shared" si="33"/>
        <v>1</v>
      </c>
      <c r="L224" t="str">
        <f t="shared" si="34"/>
        <v>9</v>
      </c>
      <c r="M224" s="7" t="str">
        <f t="shared" si="35"/>
        <v>223,2021/11/10,9319,9,3,1,9</v>
      </c>
    </row>
    <row r="225" spans="1:13" ht="18" customHeight="1">
      <c r="A225" s="1" t="s">
        <v>677</v>
      </c>
      <c r="B225" s="4" t="s">
        <v>678</v>
      </c>
      <c r="C225" s="1" t="str">
        <f t="shared" si="27"/>
        <v>2021年11月11日</v>
      </c>
      <c r="D225" s="1" t="s">
        <v>679</v>
      </c>
      <c r="E225" s="6" t="str">
        <f t="shared" si="28"/>
        <v>2021/11/11,</v>
      </c>
      <c r="F225" s="6" t="str">
        <f t="shared" si="29"/>
        <v>2021/11/11,</v>
      </c>
      <c r="G225" s="4" t="s">
        <v>678</v>
      </c>
      <c r="H225" t="str">
        <f t="shared" si="30"/>
        <v>4569</v>
      </c>
      <c r="I225" t="str">
        <f t="shared" si="31"/>
        <v>4</v>
      </c>
      <c r="J225" t="str">
        <f t="shared" si="32"/>
        <v>5</v>
      </c>
      <c r="K225" t="str">
        <f t="shared" si="33"/>
        <v>6</v>
      </c>
      <c r="L225" t="str">
        <f t="shared" si="34"/>
        <v>9</v>
      </c>
      <c r="M225" s="7" t="str">
        <f t="shared" si="35"/>
        <v>224,2021/11/11,4569,4,5,6,9</v>
      </c>
    </row>
    <row r="226" spans="1:13" ht="18" customHeight="1">
      <c r="A226" s="1" t="s">
        <v>680</v>
      </c>
      <c r="B226" s="4" t="s">
        <v>681</v>
      </c>
      <c r="C226" s="1" t="str">
        <f t="shared" si="27"/>
        <v>2021年11月12日</v>
      </c>
      <c r="D226" s="1" t="s">
        <v>682</v>
      </c>
      <c r="E226" s="6" t="str">
        <f t="shared" si="28"/>
        <v>2021/11/12,</v>
      </c>
      <c r="F226" s="6" t="str">
        <f t="shared" si="29"/>
        <v>2021/11/12,</v>
      </c>
      <c r="G226" s="4" t="s">
        <v>681</v>
      </c>
      <c r="H226" t="str">
        <f t="shared" si="30"/>
        <v>1149</v>
      </c>
      <c r="I226" t="str">
        <f t="shared" si="31"/>
        <v>1</v>
      </c>
      <c r="J226" t="str">
        <f t="shared" si="32"/>
        <v>1</v>
      </c>
      <c r="K226" t="str">
        <f t="shared" si="33"/>
        <v>4</v>
      </c>
      <c r="L226" t="str">
        <f t="shared" si="34"/>
        <v>9</v>
      </c>
      <c r="M226" s="7" t="str">
        <f t="shared" si="35"/>
        <v>225,2021/11/12,1149,1,1,4,9</v>
      </c>
    </row>
    <row r="227" spans="1:13" ht="18" customHeight="1">
      <c r="A227" s="1" t="s">
        <v>683</v>
      </c>
      <c r="B227" s="4" t="s">
        <v>684</v>
      </c>
      <c r="C227" s="1" t="str">
        <f t="shared" si="27"/>
        <v>2021年11月15日</v>
      </c>
      <c r="D227" s="1" t="s">
        <v>685</v>
      </c>
      <c r="E227" s="6" t="str">
        <f t="shared" si="28"/>
        <v>2021/11/15,</v>
      </c>
      <c r="F227" s="6" t="str">
        <f t="shared" si="29"/>
        <v>2021/11/15,</v>
      </c>
      <c r="G227" s="4" t="s">
        <v>684</v>
      </c>
      <c r="H227" t="str">
        <f t="shared" si="30"/>
        <v>8425</v>
      </c>
      <c r="I227" t="str">
        <f t="shared" si="31"/>
        <v>8</v>
      </c>
      <c r="J227" t="str">
        <f t="shared" si="32"/>
        <v>4</v>
      </c>
      <c r="K227" t="str">
        <f t="shared" si="33"/>
        <v>2</v>
      </c>
      <c r="L227" t="str">
        <f t="shared" si="34"/>
        <v>5</v>
      </c>
      <c r="M227" s="7" t="str">
        <f t="shared" si="35"/>
        <v>226,2021/11/15,8425,8,4,2,5</v>
      </c>
    </row>
    <row r="228" spans="1:13" ht="18" customHeight="1">
      <c r="A228" s="1" t="s">
        <v>686</v>
      </c>
      <c r="B228" s="4" t="s">
        <v>687</v>
      </c>
      <c r="C228" s="1" t="str">
        <f t="shared" si="27"/>
        <v>2021年11月16日</v>
      </c>
      <c r="D228" s="1" t="s">
        <v>688</v>
      </c>
      <c r="E228" s="6" t="str">
        <f t="shared" si="28"/>
        <v>2021/11/16,</v>
      </c>
      <c r="F228" s="6" t="str">
        <f t="shared" si="29"/>
        <v>2021/11/16,</v>
      </c>
      <c r="G228" s="4" t="s">
        <v>687</v>
      </c>
      <c r="H228" t="str">
        <f t="shared" si="30"/>
        <v>3833</v>
      </c>
      <c r="I228" t="str">
        <f t="shared" si="31"/>
        <v>3</v>
      </c>
      <c r="J228" t="str">
        <f t="shared" si="32"/>
        <v>8</v>
      </c>
      <c r="K228" t="str">
        <f t="shared" si="33"/>
        <v>3</v>
      </c>
      <c r="L228" t="str">
        <f t="shared" si="34"/>
        <v>3</v>
      </c>
      <c r="M228" s="7" t="str">
        <f t="shared" si="35"/>
        <v>227,2021/11/16,3833,3,8,3,3</v>
      </c>
    </row>
    <row r="229" spans="1:13" ht="18" customHeight="1">
      <c r="A229" s="1" t="s">
        <v>689</v>
      </c>
      <c r="B229" s="4" t="s">
        <v>690</v>
      </c>
      <c r="C229" s="1" t="str">
        <f t="shared" si="27"/>
        <v>2021年11月17日</v>
      </c>
      <c r="D229" s="1" t="s">
        <v>691</v>
      </c>
      <c r="E229" s="6" t="str">
        <f t="shared" si="28"/>
        <v>2021/11/17,</v>
      </c>
      <c r="F229" s="6" t="str">
        <f t="shared" si="29"/>
        <v>2021/11/17,</v>
      </c>
      <c r="G229" s="4" t="s">
        <v>690</v>
      </c>
      <c r="H229" t="str">
        <f t="shared" si="30"/>
        <v>8231</v>
      </c>
      <c r="I229" t="str">
        <f t="shared" si="31"/>
        <v>8</v>
      </c>
      <c r="J229" t="str">
        <f t="shared" si="32"/>
        <v>2</v>
      </c>
      <c r="K229" t="str">
        <f t="shared" si="33"/>
        <v>3</v>
      </c>
      <c r="L229" t="str">
        <f t="shared" si="34"/>
        <v>1</v>
      </c>
      <c r="M229" s="7" t="str">
        <f t="shared" si="35"/>
        <v>228,2021/11/17,8231,8,2,3,1</v>
      </c>
    </row>
    <row r="230" spans="1:13" ht="18" customHeight="1">
      <c r="A230" s="1" t="s">
        <v>692</v>
      </c>
      <c r="B230" s="4" t="s">
        <v>693</v>
      </c>
      <c r="C230" s="1" t="str">
        <f t="shared" si="27"/>
        <v>2021年11月18日</v>
      </c>
      <c r="D230" s="1" t="s">
        <v>694</v>
      </c>
      <c r="E230" s="6" t="str">
        <f t="shared" si="28"/>
        <v>2021/11/18,</v>
      </c>
      <c r="F230" s="6" t="str">
        <f t="shared" si="29"/>
        <v>2021/11/18,</v>
      </c>
      <c r="G230" s="4" t="s">
        <v>693</v>
      </c>
      <c r="H230" t="str">
        <f t="shared" si="30"/>
        <v>8481</v>
      </c>
      <c r="I230" t="str">
        <f t="shared" si="31"/>
        <v>8</v>
      </c>
      <c r="J230" t="str">
        <f t="shared" si="32"/>
        <v>4</v>
      </c>
      <c r="K230" t="str">
        <f t="shared" si="33"/>
        <v>8</v>
      </c>
      <c r="L230" t="str">
        <f t="shared" si="34"/>
        <v>1</v>
      </c>
      <c r="M230" s="7" t="str">
        <f t="shared" si="35"/>
        <v>229,2021/11/18,8481,8,4,8,1</v>
      </c>
    </row>
    <row r="231" spans="1:13" ht="18" customHeight="1">
      <c r="A231" s="1" t="s">
        <v>695</v>
      </c>
      <c r="B231" s="4" t="s">
        <v>696</v>
      </c>
      <c r="C231" s="1" t="str">
        <f t="shared" si="27"/>
        <v>2021年11月19日</v>
      </c>
      <c r="D231" s="1" t="s">
        <v>697</v>
      </c>
      <c r="E231" s="6" t="str">
        <f t="shared" si="28"/>
        <v>2021/11/19,</v>
      </c>
      <c r="F231" s="6" t="str">
        <f t="shared" si="29"/>
        <v>2021/11/19,</v>
      </c>
      <c r="G231" s="4" t="s">
        <v>696</v>
      </c>
      <c r="H231" t="str">
        <f t="shared" si="30"/>
        <v>4880</v>
      </c>
      <c r="I231" t="str">
        <f t="shared" si="31"/>
        <v>4</v>
      </c>
      <c r="J231" t="str">
        <f t="shared" si="32"/>
        <v>8</v>
      </c>
      <c r="K231" t="str">
        <f t="shared" si="33"/>
        <v>8</v>
      </c>
      <c r="L231" t="str">
        <f t="shared" si="34"/>
        <v>0</v>
      </c>
      <c r="M231" s="7" t="str">
        <f t="shared" si="35"/>
        <v>230,2021/11/19,4880,4,8,8,0</v>
      </c>
    </row>
    <row r="232" spans="1:13" ht="18" customHeight="1">
      <c r="A232" s="1" t="s">
        <v>698</v>
      </c>
      <c r="B232" s="4" t="s">
        <v>699</v>
      </c>
      <c r="C232" s="1" t="str">
        <f t="shared" si="27"/>
        <v>2021年11月22日</v>
      </c>
      <c r="D232" s="1" t="s">
        <v>700</v>
      </c>
      <c r="E232" s="6" t="str">
        <f t="shared" si="28"/>
        <v>2021/11/22,</v>
      </c>
      <c r="F232" s="6" t="str">
        <f t="shared" si="29"/>
        <v>2021/11/22,</v>
      </c>
      <c r="G232" s="4" t="s">
        <v>699</v>
      </c>
      <c r="H232" t="str">
        <f t="shared" si="30"/>
        <v>1205</v>
      </c>
      <c r="I232" t="str">
        <f t="shared" si="31"/>
        <v>1</v>
      </c>
      <c r="J232" t="str">
        <f t="shared" si="32"/>
        <v>2</v>
      </c>
      <c r="K232" t="str">
        <f t="shared" si="33"/>
        <v>0</v>
      </c>
      <c r="L232" t="str">
        <f t="shared" si="34"/>
        <v>5</v>
      </c>
      <c r="M232" s="7" t="str">
        <f t="shared" si="35"/>
        <v>231,2021/11/22,1205,1,2,0,5</v>
      </c>
    </row>
    <row r="233" spans="1:13" ht="18" customHeight="1">
      <c r="A233" s="1" t="s">
        <v>701</v>
      </c>
      <c r="B233" s="4" t="s">
        <v>702</v>
      </c>
      <c r="C233" s="1" t="str">
        <f t="shared" si="27"/>
        <v>2021年11月23日</v>
      </c>
      <c r="D233" s="1" t="s">
        <v>703</v>
      </c>
      <c r="E233" s="6" t="str">
        <f t="shared" si="28"/>
        <v>2021/11/23,</v>
      </c>
      <c r="F233" s="6" t="str">
        <f t="shared" si="29"/>
        <v>2021/11/23,</v>
      </c>
      <c r="G233" s="4" t="s">
        <v>702</v>
      </c>
      <c r="H233" t="str">
        <f t="shared" si="30"/>
        <v>8842</v>
      </c>
      <c r="I233" t="str">
        <f t="shared" si="31"/>
        <v>8</v>
      </c>
      <c r="J233" t="str">
        <f t="shared" si="32"/>
        <v>8</v>
      </c>
      <c r="K233" t="str">
        <f t="shared" si="33"/>
        <v>4</v>
      </c>
      <c r="L233" t="str">
        <f t="shared" si="34"/>
        <v>2</v>
      </c>
      <c r="M233" s="7" t="str">
        <f t="shared" si="35"/>
        <v>232,2021/11/23,8842,8,8,4,2</v>
      </c>
    </row>
    <row r="234" spans="1:13" ht="18" customHeight="1">
      <c r="A234" s="1" t="s">
        <v>704</v>
      </c>
      <c r="B234" s="4" t="s">
        <v>705</v>
      </c>
      <c r="C234" s="1" t="str">
        <f t="shared" si="27"/>
        <v>2021年11月24日</v>
      </c>
      <c r="D234" s="1" t="s">
        <v>706</v>
      </c>
      <c r="E234" s="6" t="str">
        <f t="shared" si="28"/>
        <v>2021/11/24,</v>
      </c>
      <c r="F234" s="6" t="str">
        <f t="shared" si="29"/>
        <v>2021/11/24,</v>
      </c>
      <c r="G234" s="4" t="s">
        <v>705</v>
      </c>
      <c r="H234" t="str">
        <f t="shared" si="30"/>
        <v>5427</v>
      </c>
      <c r="I234" t="str">
        <f t="shared" si="31"/>
        <v>5</v>
      </c>
      <c r="J234" t="str">
        <f t="shared" si="32"/>
        <v>4</v>
      </c>
      <c r="K234" t="str">
        <f t="shared" si="33"/>
        <v>2</v>
      </c>
      <c r="L234" t="str">
        <f t="shared" si="34"/>
        <v>7</v>
      </c>
      <c r="M234" s="7" t="str">
        <f t="shared" si="35"/>
        <v>233,2021/11/24,5427,5,4,2,7</v>
      </c>
    </row>
    <row r="235" spans="1:13" ht="18" customHeight="1">
      <c r="A235" s="1" t="s">
        <v>707</v>
      </c>
      <c r="B235" s="4" t="s">
        <v>708</v>
      </c>
      <c r="C235" s="1" t="str">
        <f t="shared" si="27"/>
        <v>2021年11月25日</v>
      </c>
      <c r="D235" s="1" t="s">
        <v>709</v>
      </c>
      <c r="E235" s="6" t="str">
        <f t="shared" si="28"/>
        <v>2021/11/25,</v>
      </c>
      <c r="F235" s="6" t="str">
        <f t="shared" si="29"/>
        <v>2021/11/25,</v>
      </c>
      <c r="G235" s="4" t="s">
        <v>708</v>
      </c>
      <c r="H235" t="str">
        <f t="shared" si="30"/>
        <v>4223</v>
      </c>
      <c r="I235" t="str">
        <f t="shared" si="31"/>
        <v>4</v>
      </c>
      <c r="J235" t="str">
        <f t="shared" si="32"/>
        <v>2</v>
      </c>
      <c r="K235" t="str">
        <f t="shared" si="33"/>
        <v>2</v>
      </c>
      <c r="L235" t="str">
        <f t="shared" si="34"/>
        <v>3</v>
      </c>
      <c r="M235" s="7" t="str">
        <f t="shared" si="35"/>
        <v>234,2021/11/25,4223,4,2,2,3</v>
      </c>
    </row>
    <row r="236" spans="1:13" ht="18" customHeight="1">
      <c r="A236" s="1" t="s">
        <v>710</v>
      </c>
      <c r="B236" s="4" t="s">
        <v>711</v>
      </c>
      <c r="C236" s="1" t="str">
        <f t="shared" si="27"/>
        <v>2021年11月26日</v>
      </c>
      <c r="D236" s="1" t="s">
        <v>712</v>
      </c>
      <c r="E236" s="6" t="str">
        <f t="shared" si="28"/>
        <v>2021/11/26,</v>
      </c>
      <c r="F236" s="6" t="str">
        <f t="shared" si="29"/>
        <v>2021/11/26,</v>
      </c>
      <c r="G236" s="4" t="s">
        <v>711</v>
      </c>
      <c r="H236" t="str">
        <f t="shared" si="30"/>
        <v>3044</v>
      </c>
      <c r="I236" t="str">
        <f t="shared" si="31"/>
        <v>3</v>
      </c>
      <c r="J236" t="str">
        <f t="shared" si="32"/>
        <v>0</v>
      </c>
      <c r="K236" t="str">
        <f t="shared" si="33"/>
        <v>4</v>
      </c>
      <c r="L236" t="str">
        <f t="shared" si="34"/>
        <v>4</v>
      </c>
      <c r="M236" s="7" t="str">
        <f t="shared" si="35"/>
        <v>235,2021/11/26,3044,3,0,4,4</v>
      </c>
    </row>
    <row r="237" spans="1:13" ht="18" customHeight="1">
      <c r="A237" s="1" t="s">
        <v>713</v>
      </c>
      <c r="B237" s="4" t="s">
        <v>714</v>
      </c>
      <c r="C237" s="1" t="str">
        <f t="shared" si="27"/>
        <v>2021年11月29日</v>
      </c>
      <c r="D237" s="1" t="s">
        <v>715</v>
      </c>
      <c r="E237" s="6" t="str">
        <f t="shared" si="28"/>
        <v>2021/11/29,</v>
      </c>
      <c r="F237" s="6" t="str">
        <f t="shared" si="29"/>
        <v>2021/11/29,</v>
      </c>
      <c r="G237" s="4" t="s">
        <v>714</v>
      </c>
      <c r="H237" t="str">
        <f t="shared" si="30"/>
        <v>8624</v>
      </c>
      <c r="I237" t="str">
        <f t="shared" si="31"/>
        <v>8</v>
      </c>
      <c r="J237" t="str">
        <f t="shared" si="32"/>
        <v>6</v>
      </c>
      <c r="K237" t="str">
        <f t="shared" si="33"/>
        <v>2</v>
      </c>
      <c r="L237" t="str">
        <f t="shared" si="34"/>
        <v>4</v>
      </c>
      <c r="M237" s="7" t="str">
        <f t="shared" si="35"/>
        <v>236,2021/11/29,8624,8,6,2,4</v>
      </c>
    </row>
    <row r="238" spans="1:13" ht="18" customHeight="1">
      <c r="A238" s="1" t="s">
        <v>716</v>
      </c>
      <c r="B238" s="4" t="s">
        <v>717</v>
      </c>
      <c r="C238" s="1" t="str">
        <f t="shared" si="27"/>
        <v>2021年11月30日</v>
      </c>
      <c r="D238" s="1" t="s">
        <v>718</v>
      </c>
      <c r="E238" s="6" t="str">
        <f t="shared" si="28"/>
        <v>2021/11/30,</v>
      </c>
      <c r="F238" s="6" t="str">
        <f t="shared" si="29"/>
        <v>2021/11/30,</v>
      </c>
      <c r="G238" s="4" t="s">
        <v>717</v>
      </c>
      <c r="H238" t="str">
        <f t="shared" si="30"/>
        <v>4594</v>
      </c>
      <c r="I238" t="str">
        <f t="shared" si="31"/>
        <v>4</v>
      </c>
      <c r="J238" t="str">
        <f t="shared" si="32"/>
        <v>5</v>
      </c>
      <c r="K238" t="str">
        <f t="shared" si="33"/>
        <v>9</v>
      </c>
      <c r="L238" t="str">
        <f t="shared" si="34"/>
        <v>4</v>
      </c>
      <c r="M238" s="7" t="str">
        <f t="shared" si="35"/>
        <v>237,2021/11/30,4594,4,5,9,4</v>
      </c>
    </row>
    <row r="239" spans="1:13" ht="18" customHeight="1">
      <c r="A239" s="1" t="s">
        <v>719</v>
      </c>
      <c r="B239" s="4" t="s">
        <v>720</v>
      </c>
      <c r="C239" s="1" t="str">
        <f t="shared" si="27"/>
        <v xml:space="preserve">2021年12月1日 </v>
      </c>
      <c r="D239" s="1" t="s">
        <v>721</v>
      </c>
      <c r="E239" s="6" t="str">
        <f t="shared" si="28"/>
        <v>2021/12/1,</v>
      </c>
      <c r="F239" s="6" t="str">
        <f t="shared" si="29"/>
        <v>2021/12/1,</v>
      </c>
      <c r="G239" s="4" t="s">
        <v>720</v>
      </c>
      <c r="H239" t="str">
        <f t="shared" si="30"/>
        <v>4643</v>
      </c>
      <c r="I239" t="str">
        <f t="shared" si="31"/>
        <v>4</v>
      </c>
      <c r="J239" t="str">
        <f t="shared" si="32"/>
        <v>6</v>
      </c>
      <c r="K239" t="str">
        <f t="shared" si="33"/>
        <v>4</v>
      </c>
      <c r="L239" t="str">
        <f t="shared" si="34"/>
        <v>3</v>
      </c>
      <c r="M239" s="7" t="str">
        <f t="shared" si="35"/>
        <v>238,2021/12/1,4643,4,6,4,3</v>
      </c>
    </row>
    <row r="240" spans="1:13" ht="18" customHeight="1">
      <c r="A240" s="1" t="s">
        <v>722</v>
      </c>
      <c r="B240" s="4" t="s">
        <v>723</v>
      </c>
      <c r="C240" s="1" t="str">
        <f t="shared" si="27"/>
        <v xml:space="preserve">2021年12月2日 </v>
      </c>
      <c r="D240" s="1" t="s">
        <v>724</v>
      </c>
      <c r="E240" s="6" t="str">
        <f t="shared" si="28"/>
        <v>2021/12/2,</v>
      </c>
      <c r="F240" s="6" t="str">
        <f t="shared" si="29"/>
        <v>2021/12/2,</v>
      </c>
      <c r="G240" s="4" t="s">
        <v>723</v>
      </c>
      <c r="H240" t="str">
        <f t="shared" si="30"/>
        <v>7269</v>
      </c>
      <c r="I240" t="str">
        <f t="shared" si="31"/>
        <v>7</v>
      </c>
      <c r="J240" t="str">
        <f t="shared" si="32"/>
        <v>2</v>
      </c>
      <c r="K240" t="str">
        <f t="shared" si="33"/>
        <v>6</v>
      </c>
      <c r="L240" t="str">
        <f t="shared" si="34"/>
        <v>9</v>
      </c>
      <c r="M240" s="7" t="str">
        <f t="shared" si="35"/>
        <v>239,2021/12/2,7269,7,2,6,9</v>
      </c>
    </row>
    <row r="241" spans="1:13" ht="18" customHeight="1">
      <c r="A241" s="1" t="s">
        <v>725</v>
      </c>
      <c r="B241" s="4" t="s">
        <v>726</v>
      </c>
      <c r="C241" s="1" t="str">
        <f t="shared" si="27"/>
        <v xml:space="preserve">2021年12月3日 </v>
      </c>
      <c r="D241" s="1" t="s">
        <v>727</v>
      </c>
      <c r="E241" s="6" t="str">
        <f t="shared" si="28"/>
        <v>2021/12/3,</v>
      </c>
      <c r="F241" s="6" t="str">
        <f t="shared" si="29"/>
        <v>2021/12/3,</v>
      </c>
      <c r="G241" s="4" t="s">
        <v>726</v>
      </c>
      <c r="H241" t="str">
        <f t="shared" si="30"/>
        <v>1888</v>
      </c>
      <c r="I241" t="str">
        <f t="shared" si="31"/>
        <v>1</v>
      </c>
      <c r="J241" t="str">
        <f t="shared" si="32"/>
        <v>8</v>
      </c>
      <c r="K241" t="str">
        <f t="shared" si="33"/>
        <v>8</v>
      </c>
      <c r="L241" t="str">
        <f t="shared" si="34"/>
        <v>8</v>
      </c>
      <c r="M241" s="7" t="str">
        <f t="shared" si="35"/>
        <v>240,2021/12/3,1888,1,8,8,8</v>
      </c>
    </row>
    <row r="242" spans="1:13" ht="18" customHeight="1">
      <c r="A242" s="1" t="s">
        <v>728</v>
      </c>
      <c r="B242" s="4" t="s">
        <v>729</v>
      </c>
      <c r="C242" s="1" t="str">
        <f t="shared" si="27"/>
        <v xml:space="preserve">2021年12月6日 </v>
      </c>
      <c r="D242" s="1" t="s">
        <v>730</v>
      </c>
      <c r="E242" s="6" t="str">
        <f t="shared" si="28"/>
        <v>2021/12/6,</v>
      </c>
      <c r="F242" s="6" t="str">
        <f t="shared" si="29"/>
        <v>2021/12/6,</v>
      </c>
      <c r="G242" s="4" t="s">
        <v>729</v>
      </c>
      <c r="H242" t="str">
        <f t="shared" si="30"/>
        <v>6770</v>
      </c>
      <c r="I242" t="str">
        <f t="shared" si="31"/>
        <v>6</v>
      </c>
      <c r="J242" t="str">
        <f t="shared" si="32"/>
        <v>7</v>
      </c>
      <c r="K242" t="str">
        <f t="shared" si="33"/>
        <v>7</v>
      </c>
      <c r="L242" t="str">
        <f t="shared" si="34"/>
        <v>0</v>
      </c>
      <c r="M242" s="7" t="str">
        <f t="shared" si="35"/>
        <v>241,2021/12/6,6770,6,7,7,0</v>
      </c>
    </row>
    <row r="243" spans="1:13" ht="18" customHeight="1">
      <c r="A243" s="1" t="s">
        <v>731</v>
      </c>
      <c r="B243" s="4" t="s">
        <v>732</v>
      </c>
      <c r="C243" s="1" t="str">
        <f t="shared" si="27"/>
        <v xml:space="preserve">2021年12月7日 </v>
      </c>
      <c r="D243" s="1" t="s">
        <v>733</v>
      </c>
      <c r="E243" s="6" t="str">
        <f t="shared" si="28"/>
        <v>2021/12/7,</v>
      </c>
      <c r="F243" s="6" t="str">
        <f t="shared" si="29"/>
        <v>2021/12/7,</v>
      </c>
      <c r="G243" s="4" t="s">
        <v>732</v>
      </c>
      <c r="H243" t="str">
        <f t="shared" si="30"/>
        <v>8951</v>
      </c>
      <c r="I243" t="str">
        <f t="shared" si="31"/>
        <v>8</v>
      </c>
      <c r="J243" t="str">
        <f t="shared" si="32"/>
        <v>9</v>
      </c>
      <c r="K243" t="str">
        <f t="shared" si="33"/>
        <v>5</v>
      </c>
      <c r="L243" t="str">
        <f t="shared" si="34"/>
        <v>1</v>
      </c>
      <c r="M243" s="7" t="str">
        <f t="shared" si="35"/>
        <v>242,2021/12/7,8951,8,9,5,1</v>
      </c>
    </row>
    <row r="244" spans="1:13" ht="18" customHeight="1">
      <c r="A244" s="1" t="s">
        <v>734</v>
      </c>
      <c r="B244" s="4" t="s">
        <v>735</v>
      </c>
      <c r="C244" s="1" t="str">
        <f t="shared" si="27"/>
        <v xml:space="preserve">2021年12月8日 </v>
      </c>
      <c r="D244" s="1" t="s">
        <v>736</v>
      </c>
      <c r="E244" s="6" t="str">
        <f t="shared" si="28"/>
        <v>2021/12/8,</v>
      </c>
      <c r="F244" s="6" t="str">
        <f t="shared" si="29"/>
        <v>2021/12/8,</v>
      </c>
      <c r="G244" s="4" t="s">
        <v>735</v>
      </c>
      <c r="H244" t="str">
        <f t="shared" si="30"/>
        <v>8438</v>
      </c>
      <c r="I244" t="str">
        <f t="shared" si="31"/>
        <v>8</v>
      </c>
      <c r="J244" t="str">
        <f t="shared" si="32"/>
        <v>4</v>
      </c>
      <c r="K244" t="str">
        <f t="shared" si="33"/>
        <v>3</v>
      </c>
      <c r="L244" t="str">
        <f t="shared" si="34"/>
        <v>8</v>
      </c>
      <c r="M244" s="7" t="str">
        <f t="shared" si="35"/>
        <v>243,2021/12/8,8438,8,4,3,8</v>
      </c>
    </row>
    <row r="245" spans="1:13" ht="18" customHeight="1">
      <c r="A245" s="1" t="s">
        <v>737</v>
      </c>
      <c r="B245" s="4" t="s">
        <v>738</v>
      </c>
      <c r="C245" s="1" t="str">
        <f t="shared" si="27"/>
        <v xml:space="preserve">2021年12月9日 </v>
      </c>
      <c r="D245" s="1" t="s">
        <v>739</v>
      </c>
      <c r="E245" s="6" t="str">
        <f t="shared" si="28"/>
        <v>2021/12/9,</v>
      </c>
      <c r="F245" s="6" t="str">
        <f t="shared" si="29"/>
        <v>2021/12/9,</v>
      </c>
      <c r="G245" s="4" t="s">
        <v>738</v>
      </c>
      <c r="H245" t="str">
        <f t="shared" si="30"/>
        <v>5741</v>
      </c>
      <c r="I245" t="str">
        <f t="shared" si="31"/>
        <v>5</v>
      </c>
      <c r="J245" t="str">
        <f t="shared" si="32"/>
        <v>7</v>
      </c>
      <c r="K245" t="str">
        <f t="shared" si="33"/>
        <v>4</v>
      </c>
      <c r="L245" t="str">
        <f t="shared" si="34"/>
        <v>1</v>
      </c>
      <c r="M245" s="7" t="str">
        <f t="shared" si="35"/>
        <v>244,2021/12/9,5741,5,7,4,1</v>
      </c>
    </row>
    <row r="246" spans="1:13" ht="18" customHeight="1">
      <c r="A246" s="1" t="s">
        <v>740</v>
      </c>
      <c r="B246" s="4" t="s">
        <v>741</v>
      </c>
      <c r="C246" s="1" t="str">
        <f t="shared" si="27"/>
        <v>2021年12月10日</v>
      </c>
      <c r="D246" s="1" t="s">
        <v>742</v>
      </c>
      <c r="E246" s="6" t="str">
        <f t="shared" si="28"/>
        <v>2021/12/10,</v>
      </c>
      <c r="F246" s="6" t="str">
        <f t="shared" si="29"/>
        <v>2021/12/10,</v>
      </c>
      <c r="G246" s="4" t="s">
        <v>741</v>
      </c>
      <c r="H246" t="str">
        <f t="shared" si="30"/>
        <v>9636</v>
      </c>
      <c r="I246" t="str">
        <f t="shared" si="31"/>
        <v>9</v>
      </c>
      <c r="J246" t="str">
        <f t="shared" si="32"/>
        <v>6</v>
      </c>
      <c r="K246" t="str">
        <f t="shared" si="33"/>
        <v>3</v>
      </c>
      <c r="L246" t="str">
        <f t="shared" si="34"/>
        <v>6</v>
      </c>
      <c r="M246" s="7" t="str">
        <f t="shared" si="35"/>
        <v>245,2021/12/10,9636,9,6,3,6</v>
      </c>
    </row>
    <row r="247" spans="1:13" ht="18" customHeight="1">
      <c r="A247" s="1" t="s">
        <v>743</v>
      </c>
      <c r="B247" s="4" t="s">
        <v>744</v>
      </c>
      <c r="C247" s="1" t="str">
        <f t="shared" si="27"/>
        <v>2021年12月13日</v>
      </c>
      <c r="D247" s="1" t="s">
        <v>745</v>
      </c>
      <c r="E247" s="6" t="str">
        <f t="shared" si="28"/>
        <v>2021/12/13,</v>
      </c>
      <c r="F247" s="6" t="str">
        <f t="shared" si="29"/>
        <v>2021/12/13,</v>
      </c>
      <c r="G247" s="4" t="s">
        <v>744</v>
      </c>
      <c r="H247" t="str">
        <f t="shared" si="30"/>
        <v>2381</v>
      </c>
      <c r="I247" t="str">
        <f t="shared" si="31"/>
        <v>2</v>
      </c>
      <c r="J247" t="str">
        <f t="shared" si="32"/>
        <v>3</v>
      </c>
      <c r="K247" t="str">
        <f t="shared" si="33"/>
        <v>8</v>
      </c>
      <c r="L247" t="str">
        <f t="shared" si="34"/>
        <v>1</v>
      </c>
      <c r="M247" s="7" t="str">
        <f t="shared" si="35"/>
        <v>246,2021/12/13,2381,2,3,8,1</v>
      </c>
    </row>
    <row r="248" spans="1:13" ht="18" customHeight="1">
      <c r="A248" s="1" t="s">
        <v>746</v>
      </c>
      <c r="B248" s="4" t="s">
        <v>747</v>
      </c>
      <c r="C248" s="1" t="str">
        <f t="shared" si="27"/>
        <v>2021年12月14日</v>
      </c>
      <c r="D248" s="1" t="s">
        <v>748</v>
      </c>
      <c r="E248" s="6" t="str">
        <f t="shared" si="28"/>
        <v>2021/12/14,</v>
      </c>
      <c r="F248" s="6" t="str">
        <f t="shared" si="29"/>
        <v>2021/12/14,</v>
      </c>
      <c r="G248" s="4" t="s">
        <v>747</v>
      </c>
      <c r="H248" t="str">
        <f t="shared" si="30"/>
        <v>1250</v>
      </c>
      <c r="I248" t="str">
        <f t="shared" si="31"/>
        <v>1</v>
      </c>
      <c r="J248" t="str">
        <f t="shared" si="32"/>
        <v>2</v>
      </c>
      <c r="K248" t="str">
        <f t="shared" si="33"/>
        <v>5</v>
      </c>
      <c r="L248" t="str">
        <f t="shared" si="34"/>
        <v>0</v>
      </c>
      <c r="M248" s="7" t="str">
        <f t="shared" si="35"/>
        <v>247,2021/12/14,1250,1,2,5,0</v>
      </c>
    </row>
    <row r="249" spans="1:13" ht="18" customHeight="1">
      <c r="A249" s="1" t="s">
        <v>749</v>
      </c>
      <c r="B249" s="4" t="s">
        <v>750</v>
      </c>
      <c r="C249" s="1" t="str">
        <f t="shared" si="27"/>
        <v>2021年12月15日</v>
      </c>
      <c r="D249" s="1" t="s">
        <v>751</v>
      </c>
      <c r="E249" s="6" t="str">
        <f t="shared" si="28"/>
        <v>2021/12/15,</v>
      </c>
      <c r="F249" s="6" t="str">
        <f t="shared" si="29"/>
        <v>2021/12/15,</v>
      </c>
      <c r="G249" s="4" t="s">
        <v>750</v>
      </c>
      <c r="H249" t="str">
        <f t="shared" si="30"/>
        <v>7246</v>
      </c>
      <c r="I249" t="str">
        <f t="shared" si="31"/>
        <v>7</v>
      </c>
      <c r="J249" t="str">
        <f t="shared" si="32"/>
        <v>2</v>
      </c>
      <c r="K249" t="str">
        <f t="shared" si="33"/>
        <v>4</v>
      </c>
      <c r="L249" t="str">
        <f t="shared" si="34"/>
        <v>6</v>
      </c>
      <c r="M249" s="7" t="str">
        <f t="shared" si="35"/>
        <v>248,2021/12/15,7246,7,2,4,6</v>
      </c>
    </row>
    <row r="250" spans="1:13" ht="18" customHeight="1">
      <c r="A250" s="1" t="s">
        <v>752</v>
      </c>
      <c r="B250" s="4" t="s">
        <v>753</v>
      </c>
      <c r="C250" s="1" t="str">
        <f t="shared" si="27"/>
        <v>2021年12月16日</v>
      </c>
      <c r="D250" s="1" t="s">
        <v>754</v>
      </c>
      <c r="E250" s="6" t="str">
        <f t="shared" si="28"/>
        <v>2021/12/16,</v>
      </c>
      <c r="F250" s="6" t="str">
        <f t="shared" si="29"/>
        <v>2021/12/16,</v>
      </c>
      <c r="G250" s="4" t="s">
        <v>753</v>
      </c>
      <c r="H250" t="str">
        <f t="shared" si="30"/>
        <v>6572</v>
      </c>
      <c r="I250" t="str">
        <f t="shared" si="31"/>
        <v>6</v>
      </c>
      <c r="J250" t="str">
        <f t="shared" si="32"/>
        <v>5</v>
      </c>
      <c r="K250" t="str">
        <f t="shared" si="33"/>
        <v>7</v>
      </c>
      <c r="L250" t="str">
        <f t="shared" si="34"/>
        <v>2</v>
      </c>
      <c r="M250" s="7" t="str">
        <f t="shared" si="35"/>
        <v>249,2021/12/16,6572,6,5,7,2</v>
      </c>
    </row>
    <row r="251" spans="1:13" ht="18" customHeight="1">
      <c r="A251" s="1" t="s">
        <v>755</v>
      </c>
      <c r="B251" s="4" t="s">
        <v>756</v>
      </c>
      <c r="C251" s="1" t="str">
        <f t="shared" si="27"/>
        <v>2021年12月17日</v>
      </c>
      <c r="D251" s="1" t="s">
        <v>757</v>
      </c>
      <c r="E251" s="6" t="str">
        <f t="shared" si="28"/>
        <v>2021/12/17,</v>
      </c>
      <c r="F251" s="6" t="str">
        <f t="shared" si="29"/>
        <v>2021/12/17,</v>
      </c>
      <c r="G251" s="4" t="s">
        <v>756</v>
      </c>
      <c r="H251" t="str">
        <f t="shared" si="30"/>
        <v>9613</v>
      </c>
      <c r="I251" t="str">
        <f t="shared" si="31"/>
        <v>9</v>
      </c>
      <c r="J251" t="str">
        <f t="shared" si="32"/>
        <v>6</v>
      </c>
      <c r="K251" t="str">
        <f t="shared" si="33"/>
        <v>1</v>
      </c>
      <c r="L251" t="str">
        <f t="shared" si="34"/>
        <v>3</v>
      </c>
      <c r="M251" s="7" t="str">
        <f t="shared" si="35"/>
        <v>250,2021/12/17,9613,9,6,1,3</v>
      </c>
    </row>
    <row r="252" spans="1:13" ht="18" customHeight="1">
      <c r="A252" s="1" t="s">
        <v>758</v>
      </c>
      <c r="B252" s="4" t="s">
        <v>759</v>
      </c>
      <c r="C252" s="1" t="str">
        <f t="shared" si="27"/>
        <v>2021年12月20日</v>
      </c>
      <c r="D252" s="1" t="s">
        <v>760</v>
      </c>
      <c r="E252" s="6" t="str">
        <f t="shared" si="28"/>
        <v>2021/12/20,</v>
      </c>
      <c r="F252" s="6" t="str">
        <f t="shared" si="29"/>
        <v>2021/12/20,</v>
      </c>
      <c r="G252" s="4" t="s">
        <v>759</v>
      </c>
      <c r="H252" t="str">
        <f t="shared" si="30"/>
        <v>1743</v>
      </c>
      <c r="I252" t="str">
        <f t="shared" si="31"/>
        <v>1</v>
      </c>
      <c r="J252" t="str">
        <f t="shared" si="32"/>
        <v>7</v>
      </c>
      <c r="K252" t="str">
        <f t="shared" si="33"/>
        <v>4</v>
      </c>
      <c r="L252" t="str">
        <f t="shared" si="34"/>
        <v>3</v>
      </c>
      <c r="M252" s="7" t="str">
        <f t="shared" si="35"/>
        <v>251,2021/12/20,1743,1,7,4,3</v>
      </c>
    </row>
    <row r="253" spans="1:13" ht="18" customHeight="1">
      <c r="A253" s="1" t="s">
        <v>761</v>
      </c>
      <c r="B253" s="4" t="s">
        <v>762</v>
      </c>
      <c r="C253" s="1" t="str">
        <f t="shared" si="27"/>
        <v>2021年12月21日</v>
      </c>
      <c r="D253" s="1" t="s">
        <v>763</v>
      </c>
      <c r="E253" s="6" t="str">
        <f t="shared" si="28"/>
        <v>2021/12/21,</v>
      </c>
      <c r="F253" s="6" t="str">
        <f t="shared" si="29"/>
        <v>2021/12/21,</v>
      </c>
      <c r="G253" s="4" t="s">
        <v>762</v>
      </c>
      <c r="H253" t="str">
        <f t="shared" si="30"/>
        <v>3582</v>
      </c>
      <c r="I253" t="str">
        <f t="shared" si="31"/>
        <v>3</v>
      </c>
      <c r="J253" t="str">
        <f t="shared" si="32"/>
        <v>5</v>
      </c>
      <c r="K253" t="str">
        <f t="shared" si="33"/>
        <v>8</v>
      </c>
      <c r="L253" t="str">
        <f t="shared" si="34"/>
        <v>2</v>
      </c>
      <c r="M253" s="7" t="str">
        <f t="shared" si="35"/>
        <v>252,2021/12/21,3582,3,5,8,2</v>
      </c>
    </row>
    <row r="254" spans="1:13" ht="18" customHeight="1">
      <c r="A254" s="1" t="s">
        <v>764</v>
      </c>
      <c r="B254" s="4" t="s">
        <v>765</v>
      </c>
      <c r="C254" s="1" t="str">
        <f t="shared" si="27"/>
        <v>2021年12月22日</v>
      </c>
      <c r="D254" s="1" t="s">
        <v>766</v>
      </c>
      <c r="E254" s="6" t="str">
        <f t="shared" si="28"/>
        <v>2021/12/22,</v>
      </c>
      <c r="F254" s="6" t="str">
        <f t="shared" si="29"/>
        <v>2021/12/22,</v>
      </c>
      <c r="G254" s="4" t="s">
        <v>765</v>
      </c>
      <c r="H254" t="str">
        <f t="shared" si="30"/>
        <v>7399</v>
      </c>
      <c r="I254" t="str">
        <f t="shared" si="31"/>
        <v>7</v>
      </c>
      <c r="J254" t="str">
        <f t="shared" si="32"/>
        <v>3</v>
      </c>
      <c r="K254" t="str">
        <f t="shared" si="33"/>
        <v>9</v>
      </c>
      <c r="L254" t="str">
        <f t="shared" si="34"/>
        <v>9</v>
      </c>
      <c r="M254" s="7" t="str">
        <f t="shared" si="35"/>
        <v>253,2021/12/22,7399,7,3,9,9</v>
      </c>
    </row>
    <row r="255" spans="1:13" ht="18" customHeight="1">
      <c r="A255" s="1" t="s">
        <v>767</v>
      </c>
      <c r="B255" s="4" t="s">
        <v>768</v>
      </c>
      <c r="C255" s="1" t="str">
        <f t="shared" si="27"/>
        <v>2021年12月23日</v>
      </c>
      <c r="D255" s="1" t="s">
        <v>769</v>
      </c>
      <c r="E255" s="6" t="str">
        <f t="shared" si="28"/>
        <v>2021/12/23,</v>
      </c>
      <c r="F255" s="6" t="str">
        <f t="shared" si="29"/>
        <v>2021/12/23,</v>
      </c>
      <c r="G255" s="4" t="s">
        <v>768</v>
      </c>
      <c r="H255" t="str">
        <f t="shared" si="30"/>
        <v>8544</v>
      </c>
      <c r="I255" t="str">
        <f t="shared" si="31"/>
        <v>8</v>
      </c>
      <c r="J255" t="str">
        <f t="shared" si="32"/>
        <v>5</v>
      </c>
      <c r="K255" t="str">
        <f t="shared" si="33"/>
        <v>4</v>
      </c>
      <c r="L255" t="str">
        <f t="shared" si="34"/>
        <v>4</v>
      </c>
      <c r="M255" s="7" t="str">
        <f t="shared" si="35"/>
        <v>254,2021/12/23,8544,8,5,4,4</v>
      </c>
    </row>
    <row r="256" spans="1:13" ht="18" customHeight="1">
      <c r="A256" s="1" t="s">
        <v>770</v>
      </c>
      <c r="B256" s="4" t="s">
        <v>771</v>
      </c>
      <c r="C256" s="1" t="str">
        <f t="shared" si="27"/>
        <v>2021年12月24日</v>
      </c>
      <c r="D256" s="1" t="s">
        <v>772</v>
      </c>
      <c r="E256" s="6" t="str">
        <f t="shared" si="28"/>
        <v>2021/12/24,</v>
      </c>
      <c r="F256" s="6" t="str">
        <f t="shared" si="29"/>
        <v>2021/12/24,</v>
      </c>
      <c r="G256" s="4" t="s">
        <v>771</v>
      </c>
      <c r="H256" t="str">
        <f t="shared" si="30"/>
        <v>0807</v>
      </c>
      <c r="I256" t="str">
        <f t="shared" si="31"/>
        <v>0</v>
      </c>
      <c r="J256" t="str">
        <f t="shared" si="32"/>
        <v>8</v>
      </c>
      <c r="K256" t="str">
        <f t="shared" si="33"/>
        <v>0</v>
      </c>
      <c r="L256" t="str">
        <f t="shared" si="34"/>
        <v>7</v>
      </c>
      <c r="M256" s="7" t="str">
        <f t="shared" si="35"/>
        <v>255,2021/12/24,0807,0,8,0,7</v>
      </c>
    </row>
    <row r="257" spans="1:13" ht="18" customHeight="1">
      <c r="A257" s="1" t="s">
        <v>773</v>
      </c>
      <c r="B257" s="4" t="s">
        <v>774</v>
      </c>
      <c r="C257" s="1" t="str">
        <f t="shared" si="27"/>
        <v>2021年12月27日</v>
      </c>
      <c r="D257" s="1" t="s">
        <v>775</v>
      </c>
      <c r="E257" s="6" t="str">
        <f t="shared" si="28"/>
        <v>2021/12/27,</v>
      </c>
      <c r="F257" s="6" t="str">
        <f t="shared" si="29"/>
        <v>2021/12/27,</v>
      </c>
      <c r="G257" s="4" t="s">
        <v>774</v>
      </c>
      <c r="H257" t="str">
        <f t="shared" si="30"/>
        <v>9715</v>
      </c>
      <c r="I257" t="str">
        <f t="shared" si="31"/>
        <v>9</v>
      </c>
      <c r="J257" t="str">
        <f t="shared" si="32"/>
        <v>7</v>
      </c>
      <c r="K257" t="str">
        <f t="shared" si="33"/>
        <v>1</v>
      </c>
      <c r="L257" t="str">
        <f t="shared" si="34"/>
        <v>5</v>
      </c>
      <c r="M257" s="7" t="str">
        <f t="shared" si="35"/>
        <v>256,2021/12/27,9715,9,7,1,5</v>
      </c>
    </row>
    <row r="258" spans="1:13" ht="18" customHeight="1">
      <c r="A258" s="1" t="s">
        <v>776</v>
      </c>
      <c r="B258" s="4" t="s">
        <v>777</v>
      </c>
      <c r="C258" s="1" t="str">
        <f t="shared" si="27"/>
        <v>2021年12月28日</v>
      </c>
      <c r="D258" s="1" t="s">
        <v>778</v>
      </c>
      <c r="E258" s="6" t="str">
        <f t="shared" si="28"/>
        <v>2021/12/28,</v>
      </c>
      <c r="F258" s="6" t="str">
        <f t="shared" si="29"/>
        <v>2021/12/28,</v>
      </c>
      <c r="G258" s="4" t="s">
        <v>777</v>
      </c>
      <c r="H258" t="str">
        <f t="shared" si="30"/>
        <v>4205</v>
      </c>
      <c r="I258" t="str">
        <f t="shared" si="31"/>
        <v>4</v>
      </c>
      <c r="J258" t="str">
        <f t="shared" si="32"/>
        <v>2</v>
      </c>
      <c r="K258" t="str">
        <f t="shared" si="33"/>
        <v>0</v>
      </c>
      <c r="L258" t="str">
        <f t="shared" si="34"/>
        <v>5</v>
      </c>
      <c r="M258" s="7" t="str">
        <f t="shared" si="35"/>
        <v>257,2021/12/28,4205,4,2,0,5</v>
      </c>
    </row>
    <row r="259" spans="1:13" ht="18" customHeight="1">
      <c r="A259" s="1" t="s">
        <v>779</v>
      </c>
      <c r="B259" s="4" t="s">
        <v>780</v>
      </c>
      <c r="C259" s="1" t="str">
        <f t="shared" ref="C259:C260" si="36">LEFT(B259,11)</f>
        <v>2021年12月29日</v>
      </c>
      <c r="D259" s="1" t="s">
        <v>781</v>
      </c>
      <c r="E259" s="6" t="str">
        <f t="shared" ref="E259:E260" si="37">SUBSTITUTE(SUBSTITUTE(D259,"  ",""),"      ","")</f>
        <v>2021/12/29,</v>
      </c>
      <c r="F259" s="6" t="str">
        <f t="shared" ref="F259:F260" si="38">E259</f>
        <v>2021/12/29,</v>
      </c>
      <c r="G259" s="4" t="s">
        <v>780</v>
      </c>
      <c r="H259" t="str">
        <f t="shared" ref="H259:H260" si="39">RIGHT(B259,4)</f>
        <v>4559</v>
      </c>
      <c r="I259" t="str">
        <f t="shared" ref="I259:I260" si="40">LEFT(H259,1)</f>
        <v>4</v>
      </c>
      <c r="J259" t="str">
        <f t="shared" ref="J259:J260" si="41">MID(H259,2,1)</f>
        <v>5</v>
      </c>
      <c r="K259" t="str">
        <f t="shared" ref="K259:K260" si="42">MID(H259,3,1)</f>
        <v>5</v>
      </c>
      <c r="L259" t="str">
        <f t="shared" ref="L259:L260" si="43">RIGHT(H259,1)</f>
        <v>9</v>
      </c>
      <c r="M259" s="7" t="str">
        <f t="shared" ref="M259:M260" si="44">A259&amp;F259&amp;H259&amp;","&amp;I259&amp;","&amp;J259&amp;","&amp;K259&amp;","&amp;L259</f>
        <v>258,2021/12/29,4559,4,5,5,9</v>
      </c>
    </row>
    <row r="260" spans="1:13" ht="18" customHeight="1">
      <c r="A260" s="1" t="s">
        <v>782</v>
      </c>
      <c r="B260" s="4" t="s">
        <v>783</v>
      </c>
      <c r="C260" s="1" t="str">
        <f t="shared" si="36"/>
        <v>2021年12月30日</v>
      </c>
      <c r="D260" s="1" t="s">
        <v>784</v>
      </c>
      <c r="E260" s="6" t="str">
        <f t="shared" si="37"/>
        <v>2021/12/30,</v>
      </c>
      <c r="F260" s="6" t="str">
        <f t="shared" si="38"/>
        <v>2021/12/30,</v>
      </c>
      <c r="G260" s="4" t="s">
        <v>783</v>
      </c>
      <c r="H260" t="str">
        <f t="shared" si="39"/>
        <v>4709</v>
      </c>
      <c r="I260" t="str">
        <f t="shared" si="40"/>
        <v>4</v>
      </c>
      <c r="J260" t="str">
        <f t="shared" si="41"/>
        <v>7</v>
      </c>
      <c r="K260" t="str">
        <f t="shared" si="42"/>
        <v>0</v>
      </c>
      <c r="L260" t="str">
        <f t="shared" si="43"/>
        <v>9</v>
      </c>
      <c r="M260" s="7" t="str">
        <f t="shared" si="44"/>
        <v>259,2021/12/30,4709,4,7,0,9</v>
      </c>
    </row>
    <row r="261" spans="1:13" ht="18" customHeight="1">
      <c r="A261" s="1" t="s">
        <v>785</v>
      </c>
    </row>
    <row r="262" spans="1:13" ht="18" customHeight="1">
      <c r="A262" s="2"/>
    </row>
    <row r="263" spans="1:13" ht="18" customHeight="1">
      <c r="A2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. yoshikun</cp:lastModifiedBy>
  <cp:revision/>
  <dcterms:created xsi:type="dcterms:W3CDTF">2026-02-21T01:12:10Z</dcterms:created>
  <dcterms:modified xsi:type="dcterms:W3CDTF">2026-02-21T10:08:01Z</dcterms:modified>
  <cp:category/>
  <cp:contentStatus/>
</cp:coreProperties>
</file>